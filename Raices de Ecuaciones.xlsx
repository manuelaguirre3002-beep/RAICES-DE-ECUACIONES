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seccion" sheetId="1" r:id="rId4"/>
    <sheet state="visible" name="Newton" sheetId="2" r:id="rId5"/>
    <sheet state="visible" name="Secante" sheetId="3" r:id="rId6"/>
  </sheets>
  <definedNames/>
  <calcPr/>
</workbook>
</file>

<file path=xl/sharedStrings.xml><?xml version="1.0" encoding="utf-8"?>
<sst xmlns="http://schemas.openxmlformats.org/spreadsheetml/2006/main" count="225" uniqueCount="32">
  <si>
    <t>Biseccion f(x)=x^3-EXP(0,8*x)-20</t>
  </si>
  <si>
    <t>Biseccion f(x)=3*SIN(0,5*x)-0,5*x+2</t>
  </si>
  <si>
    <t>Biseccion f(x)=COS(x)^2-0,5*x*EXP(0,3*x)+5</t>
  </si>
  <si>
    <t>a0</t>
  </si>
  <si>
    <t>b0</t>
  </si>
  <si>
    <t>tol</t>
  </si>
  <si>
    <t>k</t>
  </si>
  <si>
    <t>a_k</t>
  </si>
  <si>
    <t>b_k</t>
  </si>
  <si>
    <t>c_k</t>
  </si>
  <si>
    <t>f(a_k)</t>
  </si>
  <si>
    <t>f(b_k)</t>
  </si>
  <si>
    <t>f(c_k)</t>
  </si>
  <si>
    <t>f(a_k)*f(c_k)</t>
  </si>
  <si>
    <t>error</t>
  </si>
  <si>
    <t>Biseccion f(x)=x^3-x^2*EXP(-0,5*x)-3*x+1</t>
  </si>
  <si>
    <t xml:space="preserve">Carlos Manuel Miranda Aguirre </t>
  </si>
  <si>
    <t>Newton f(x)=x^3-EXP(0,8*x)-20</t>
  </si>
  <si>
    <t>Newton f(x)=3*SIN(0,5*x)-0,5*x+2</t>
  </si>
  <si>
    <t>x0</t>
  </si>
  <si>
    <t>x_k</t>
  </si>
  <si>
    <t>f(x_k)</t>
  </si>
  <si>
    <t>f'(x_k)</t>
  </si>
  <si>
    <t>Newton f(x)=x^3-x^2*EXP(-0,5*x)-3*x+1</t>
  </si>
  <si>
    <t>Secante f(x)=x^3-EXP(0,8*x)-20</t>
  </si>
  <si>
    <t>Secante f(x)=3*SIN(0,5*x)-0,5*x+2</t>
  </si>
  <si>
    <t>Secante fx=COS(x)^2-0,5*x*EXP(0,3*x)+5</t>
  </si>
  <si>
    <t>x1</t>
  </si>
  <si>
    <t>x_{k-1}</t>
  </si>
  <si>
    <t>f(x_{k-1})</t>
  </si>
  <si>
    <t>x_{k+1}</t>
  </si>
  <si>
    <t>Secante f(x)=x^3-x^2*EXP(-0,5*x)-3*x+1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</si>
</sst>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3" fontId="1" numFmtId="0" xfId="0" applyAlignment="1" applyFill="1" applyFont="1">
      <alignment readingOrder="0"/>
    </xf>
    <xf borderId="0" fillId="3" fontId="2" numFmtId="0" xfId="0" applyFont="1"/>
    <xf borderId="0" fillId="4" fontId="1" numFmtId="0" xfId="0" applyAlignment="1" applyFill="1" applyFont="1">
      <alignment readingOrder="0"/>
    </xf>
    <xf borderId="0" fillId="4" fontId="2" numFmtId="0" xfId="0" applyFont="1"/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4" fontId="2" numFmtId="0" xfId="0" applyAlignment="1" applyFont="1">
      <alignment readingOrder="0"/>
    </xf>
    <xf borderId="1" fillId="2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2" fontId="2" numFmtId="0" xfId="0" applyBorder="1" applyFont="1"/>
    <xf borderId="1" fillId="3" fontId="2" numFmtId="0" xfId="0" applyBorder="1" applyFont="1"/>
    <xf borderId="1" fillId="4" fontId="2" numFmtId="0" xfId="0" applyBorder="1" applyFont="1"/>
    <xf borderId="1" fillId="4" fontId="2" numFmtId="0" xfId="0" applyBorder="1" applyFont="1"/>
    <xf borderId="1" fillId="5" fontId="2" numFmtId="0" xfId="0" applyBorder="1" applyFill="1" applyFont="1"/>
    <xf borderId="0" fillId="6" fontId="1" numFmtId="0" xfId="0" applyAlignment="1" applyFill="1" applyFont="1">
      <alignment readingOrder="0"/>
    </xf>
    <xf borderId="0" fillId="6" fontId="2" numFmtId="0" xfId="0" applyFont="1"/>
    <xf borderId="0" fillId="6" fontId="2" numFmtId="0" xfId="0" applyAlignment="1" applyFont="1">
      <alignment readingOrder="0"/>
    </xf>
    <xf borderId="1" fillId="6" fontId="2" numFmtId="0" xfId="0" applyAlignment="1" applyBorder="1" applyFont="1">
      <alignment readingOrder="0"/>
    </xf>
    <xf borderId="1" fillId="6" fontId="2" numFmtId="0" xfId="0" applyBorder="1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1" fillId="6" fontId="2" numFmtId="0" xfId="0" applyBorder="1" applyFont="1"/>
    <xf borderId="0" fillId="7" fontId="1" numFmtId="0" xfId="0" applyAlignment="1" applyFill="1" applyFont="1">
      <alignment readingOrder="0"/>
    </xf>
    <xf borderId="0" fillId="7" fontId="2" numFmtId="0" xfId="0" applyFont="1"/>
    <xf borderId="0" fillId="7" fontId="2" numFmtId="0" xfId="0" applyAlignment="1" applyFont="1">
      <alignment readingOrder="0"/>
    </xf>
    <xf borderId="1" fillId="7" fontId="2" numFmtId="0" xfId="0" applyAlignment="1" applyBorder="1" applyFont="1">
      <alignment readingOrder="0"/>
    </xf>
    <xf borderId="1" fillId="7" fontId="2" numFmtId="0" xfId="0" applyBorder="1" applyFont="1"/>
    <xf borderId="1" fillId="7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933450</xdr:colOff>
      <xdr:row>26</xdr:row>
      <xdr:rowOff>161925</xdr:rowOff>
    </xdr:from>
    <xdr:ext cx="5943600" cy="1638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933450</xdr:colOff>
      <xdr:row>35</xdr:row>
      <xdr:rowOff>171450</xdr:rowOff>
    </xdr:from>
    <xdr:ext cx="6276975" cy="134302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933450</xdr:colOff>
      <xdr:row>43</xdr:row>
      <xdr:rowOff>180975</xdr:rowOff>
    </xdr:from>
    <xdr:ext cx="5819775" cy="137160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933450</xdr:colOff>
      <xdr:row>51</xdr:row>
      <xdr:rowOff>161925</xdr:rowOff>
    </xdr:from>
    <xdr:ext cx="6096000" cy="1676400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L1" s="3" t="s">
        <v>1</v>
      </c>
      <c r="M1" s="4"/>
      <c r="N1" s="4"/>
      <c r="O1" s="4"/>
      <c r="P1" s="4"/>
      <c r="Q1" s="4"/>
      <c r="R1" s="4"/>
      <c r="S1" s="4"/>
      <c r="T1" s="4"/>
      <c r="U1" s="4"/>
      <c r="W1" s="5" t="s">
        <v>2</v>
      </c>
      <c r="X1" s="6"/>
      <c r="Y1" s="6"/>
      <c r="Z1" s="6"/>
      <c r="AA1" s="6"/>
      <c r="AB1" s="6"/>
      <c r="AC1" s="6"/>
      <c r="AD1" s="6"/>
      <c r="AE1" s="6"/>
    </row>
    <row r="2">
      <c r="A2" s="7" t="s">
        <v>3</v>
      </c>
      <c r="B2" s="7">
        <v>7.0</v>
      </c>
      <c r="C2" s="2"/>
      <c r="D2" s="2"/>
      <c r="E2" s="2"/>
      <c r="F2" s="2"/>
      <c r="G2" s="2"/>
      <c r="H2" s="2"/>
      <c r="I2" s="2"/>
      <c r="J2" s="2"/>
      <c r="L2" s="8" t="s">
        <v>3</v>
      </c>
      <c r="M2" s="8">
        <v>5.0</v>
      </c>
      <c r="N2" s="4"/>
      <c r="O2" s="4"/>
      <c r="P2" s="4"/>
      <c r="Q2" s="4"/>
      <c r="R2" s="4"/>
      <c r="S2" s="4"/>
      <c r="T2" s="4"/>
      <c r="U2" s="4"/>
      <c r="W2" s="9" t="s">
        <v>3</v>
      </c>
      <c r="X2" s="9">
        <v>3.0</v>
      </c>
      <c r="Y2" s="6"/>
      <c r="Z2" s="6"/>
      <c r="AA2" s="6"/>
      <c r="AB2" s="6"/>
      <c r="AC2" s="6"/>
      <c r="AD2" s="6"/>
      <c r="AE2" s="6"/>
    </row>
    <row r="3">
      <c r="A3" s="7" t="s">
        <v>4</v>
      </c>
      <c r="B3" s="7">
        <v>8.0</v>
      </c>
      <c r="C3" s="2"/>
      <c r="D3" s="2"/>
      <c r="E3" s="2"/>
      <c r="F3" s="2"/>
      <c r="G3" s="2"/>
      <c r="H3" s="2"/>
      <c r="I3" s="2"/>
      <c r="J3" s="2"/>
      <c r="L3" s="8" t="s">
        <v>4</v>
      </c>
      <c r="M3" s="8">
        <v>6.0</v>
      </c>
      <c r="N3" s="4"/>
      <c r="O3" s="4"/>
      <c r="P3" s="4"/>
      <c r="Q3" s="4"/>
      <c r="R3" s="4"/>
      <c r="S3" s="4"/>
      <c r="T3" s="4"/>
      <c r="U3" s="4"/>
      <c r="W3" s="9" t="s">
        <v>4</v>
      </c>
      <c r="X3" s="9">
        <v>4.0</v>
      </c>
      <c r="Y3" s="6"/>
      <c r="Z3" s="6"/>
      <c r="AA3" s="6"/>
      <c r="AB3" s="6"/>
      <c r="AC3" s="6"/>
      <c r="AD3" s="6"/>
      <c r="AE3" s="6"/>
    </row>
    <row r="4">
      <c r="A4" s="7" t="s">
        <v>5</v>
      </c>
      <c r="B4" s="7">
        <v>1.0E-6</v>
      </c>
      <c r="C4" s="2"/>
      <c r="D4" s="2"/>
      <c r="E4" s="2"/>
      <c r="F4" s="2"/>
      <c r="G4" s="2"/>
      <c r="H4" s="2"/>
      <c r="I4" s="2"/>
      <c r="J4" s="2"/>
      <c r="L4" s="8" t="s">
        <v>5</v>
      </c>
      <c r="M4" s="8">
        <v>1.0E-6</v>
      </c>
      <c r="N4" s="4"/>
      <c r="O4" s="4"/>
      <c r="P4" s="4"/>
      <c r="Q4" s="4"/>
      <c r="R4" s="4"/>
      <c r="S4" s="4"/>
      <c r="T4" s="4"/>
      <c r="U4" s="4"/>
      <c r="W4" s="9" t="s">
        <v>5</v>
      </c>
      <c r="X4" s="9">
        <v>1.0E-6</v>
      </c>
      <c r="Y4" s="6"/>
      <c r="Z4" s="6"/>
      <c r="AA4" s="6"/>
      <c r="AB4" s="6"/>
      <c r="AC4" s="6"/>
      <c r="AD4" s="6"/>
      <c r="AE4" s="6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L5" s="4"/>
      <c r="M5" s="4"/>
      <c r="N5" s="4"/>
      <c r="O5" s="4"/>
      <c r="P5" s="4"/>
      <c r="Q5" s="4"/>
      <c r="R5" s="4"/>
      <c r="S5" s="4"/>
      <c r="T5" s="4"/>
      <c r="U5" s="4"/>
      <c r="W5" s="6"/>
      <c r="X5" s="6"/>
      <c r="Y5" s="6"/>
      <c r="Z5" s="6"/>
      <c r="AA5" s="6"/>
      <c r="AB5" s="6"/>
      <c r="AC5" s="6"/>
      <c r="AD5" s="6"/>
      <c r="AE5" s="6"/>
    </row>
    <row r="6">
      <c r="A6" s="10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2"/>
      <c r="L6" s="11" t="s">
        <v>6</v>
      </c>
      <c r="M6" s="11" t="s">
        <v>7</v>
      </c>
      <c r="N6" s="11" t="s">
        <v>8</v>
      </c>
      <c r="O6" s="11" t="s">
        <v>9</v>
      </c>
      <c r="P6" s="11" t="s">
        <v>10</v>
      </c>
      <c r="Q6" s="11" t="s">
        <v>11</v>
      </c>
      <c r="R6" s="11" t="s">
        <v>12</v>
      </c>
      <c r="S6" s="11" t="s">
        <v>13</v>
      </c>
      <c r="T6" s="11" t="s">
        <v>14</v>
      </c>
      <c r="U6" s="4"/>
      <c r="W6" s="12" t="s">
        <v>6</v>
      </c>
      <c r="X6" s="12" t="s">
        <v>7</v>
      </c>
      <c r="Y6" s="12" t="s">
        <v>8</v>
      </c>
      <c r="Z6" s="12" t="s">
        <v>9</v>
      </c>
      <c r="AA6" s="12" t="s">
        <v>10</v>
      </c>
      <c r="AB6" s="12" t="s">
        <v>11</v>
      </c>
      <c r="AC6" s="12" t="s">
        <v>12</v>
      </c>
      <c r="AD6" s="12" t="s">
        <v>13</v>
      </c>
      <c r="AE6" s="12" t="s">
        <v>14</v>
      </c>
    </row>
    <row r="7">
      <c r="A7" s="10">
        <v>0.0</v>
      </c>
      <c r="B7" s="13">
        <f>$B$2</f>
        <v>7</v>
      </c>
      <c r="C7" s="13">
        <f>$B$3</f>
        <v>8</v>
      </c>
      <c r="D7" s="13">
        <f t="shared" ref="D7:D29" si="4">(B7+C7)/2</f>
        <v>7.5</v>
      </c>
      <c r="E7" s="13">
        <f t="shared" ref="E7:G7" si="1">B7^3-EXP(0.8*B7)-20</f>
        <v>52.57359257</v>
      </c>
      <c r="F7" s="13">
        <f t="shared" si="1"/>
        <v>-109.8450379</v>
      </c>
      <c r="G7" s="13">
        <f t="shared" si="1"/>
        <v>-1.553793493</v>
      </c>
      <c r="H7" s="13">
        <f t="shared" ref="H7:H29" si="6">E7*G7</f>
        <v>-81.68850603</v>
      </c>
      <c r="I7" s="13"/>
      <c r="J7" s="2"/>
      <c r="L7" s="11">
        <v>0.0</v>
      </c>
      <c r="M7" s="14">
        <f>$M$2</f>
        <v>5</v>
      </c>
      <c r="N7" s="14">
        <f>$M$3</f>
        <v>6</v>
      </c>
      <c r="O7" s="14">
        <f t="shared" ref="O7:O18" si="7">(M7+N7)/2</f>
        <v>5.5</v>
      </c>
      <c r="P7" s="14">
        <f t="shared" ref="P7:R7" si="2">3*SIN(0.5*M7)-0.5*M7+2
</f>
        <v>1.295416432</v>
      </c>
      <c r="Q7" s="14">
        <f t="shared" si="2"/>
        <v>-0.5766399758</v>
      </c>
      <c r="R7" s="14">
        <f t="shared" si="2"/>
        <v>0.3949829762</v>
      </c>
      <c r="S7" s="14">
        <f t="shared" ref="S7:S18" si="9">P7*R7</f>
        <v>0.5116674378</v>
      </c>
      <c r="T7" s="14"/>
      <c r="U7" s="4"/>
      <c r="W7" s="12">
        <v>0.0</v>
      </c>
      <c r="X7" s="15">
        <f>$X$2</f>
        <v>3</v>
      </c>
      <c r="Y7" s="15">
        <f>$X$3</f>
        <v>4</v>
      </c>
      <c r="Z7" s="15">
        <f t="shared" ref="Z7:Z24" si="10">(X7+Y7)/2</f>
        <v>3.5</v>
      </c>
      <c r="AA7" s="15">
        <f t="shared" ref="AA7:AC7" si="3">COS(X7)^2-0.5*X7*EXP(0.3*X7)+5</f>
        <v>2.290680477</v>
      </c>
      <c r="AB7" s="15">
        <f t="shared" si="3"/>
        <v>-1.212983862</v>
      </c>
      <c r="AC7" s="15">
        <f t="shared" si="3"/>
        <v>0.8760616706</v>
      </c>
      <c r="AD7" s="15">
        <f t="shared" ref="AD7:AD24" si="12">AA7*AC7</f>
        <v>2.006777365</v>
      </c>
      <c r="AE7" s="15"/>
    </row>
    <row r="8">
      <c r="A8" s="13">
        <f t="shared" ref="A8:A29" si="13">A7+1</f>
        <v>1</v>
      </c>
      <c r="B8" s="13">
        <f t="shared" ref="B8:B29" si="14">IF(H7&lt;0,B7,D7)</f>
        <v>7</v>
      </c>
      <c r="C8" s="13">
        <f t="shared" ref="C8:C29" si="15">IF(H7&lt;0,D7,C7)</f>
        <v>7.5</v>
      </c>
      <c r="D8" s="13">
        <f t="shared" si="4"/>
        <v>7.25</v>
      </c>
      <c r="E8" s="13">
        <f t="shared" ref="E8:G8" si="5">B8^3-EXP(0.8*B8)-20</f>
        <v>52.57359257</v>
      </c>
      <c r="F8" s="13">
        <f t="shared" si="5"/>
        <v>-1.553793493</v>
      </c>
      <c r="G8" s="13">
        <f t="shared" si="5"/>
        <v>30.77856509</v>
      </c>
      <c r="H8" s="13">
        <f t="shared" si="6"/>
        <v>1618.139741</v>
      </c>
      <c r="I8" s="13">
        <f t="shared" ref="I8:I29" si="17">ABS(D8-D7)</f>
        <v>0.25</v>
      </c>
      <c r="J8" s="2"/>
      <c r="L8" s="14">
        <f t="shared" ref="L8:L18" si="18">L7+1</f>
        <v>1</v>
      </c>
      <c r="M8" s="14">
        <f t="shared" ref="M8:M18" si="19">IF(S7&lt;0,M7,O7)</f>
        <v>5.5</v>
      </c>
      <c r="N8" s="14">
        <f t="shared" ref="N8:N18" si="20">IF(S7&lt;0,O7,N7)</f>
        <v>6</v>
      </c>
      <c r="O8" s="14">
        <f t="shared" si="7"/>
        <v>5.75</v>
      </c>
      <c r="P8" s="14">
        <f t="shared" ref="P8:R8" si="8">3*SIN(0.5*M8)-0.5*M8+2
</f>
        <v>0.3949829762</v>
      </c>
      <c r="Q8" s="14">
        <f t="shared" si="8"/>
        <v>-0.5766399758</v>
      </c>
      <c r="R8" s="14">
        <f t="shared" si="8"/>
        <v>-0.08466201991</v>
      </c>
      <c r="S8" s="14">
        <f t="shared" si="9"/>
        <v>-0.03344005659</v>
      </c>
      <c r="T8" s="14">
        <f t="shared" ref="T8:T18" si="22">ABS(O8-O7)</f>
        <v>0.25</v>
      </c>
      <c r="U8" s="4"/>
      <c r="W8" s="15">
        <f t="shared" ref="W8:W24" si="23">W7+1</f>
        <v>1</v>
      </c>
      <c r="X8" s="15">
        <f t="shared" ref="X8:X24" si="24">IF(AD7&lt;0,X7,Z7)</f>
        <v>3.5</v>
      </c>
      <c r="Y8" s="15">
        <f t="shared" ref="Y8:Y24" si="25">IF(AD7&lt;0,Z7,Y7)</f>
        <v>4</v>
      </c>
      <c r="Z8" s="15">
        <f t="shared" si="10"/>
        <v>3.75</v>
      </c>
      <c r="AA8" s="15">
        <f t="shared" ref="AA8:AC8" si="11">COS(X8)^2-0.5*X8*EXP(0.3*X8)+5</f>
        <v>0.8760616706</v>
      </c>
      <c r="AB8" s="15">
        <f t="shared" si="11"/>
        <v>-1.212983862</v>
      </c>
      <c r="AC8" s="16">
        <f t="shared" si="11"/>
        <v>-0.1020889328</v>
      </c>
      <c r="AD8" s="15">
        <f t="shared" si="12"/>
        <v>-0.08943620102</v>
      </c>
      <c r="AE8" s="15">
        <f t="shared" ref="AE8:AE24" si="27">ABS(Z8-Z7)</f>
        <v>0.25</v>
      </c>
    </row>
    <row r="9">
      <c r="A9" s="13">
        <f t="shared" si="13"/>
        <v>2</v>
      </c>
      <c r="B9" s="13">
        <f t="shared" si="14"/>
        <v>7.25</v>
      </c>
      <c r="C9" s="13">
        <f t="shared" si="15"/>
        <v>7.5</v>
      </c>
      <c r="D9" s="13">
        <f t="shared" si="4"/>
        <v>7.375</v>
      </c>
      <c r="E9" s="13">
        <f t="shared" ref="E9:G9" si="16">B9^3-EXP(0.8*B9)-20</f>
        <v>30.77856509</v>
      </c>
      <c r="F9" s="13">
        <f t="shared" si="16"/>
        <v>-1.553793493</v>
      </c>
      <c r="G9" s="13">
        <f t="shared" si="16"/>
        <v>16.09339151</v>
      </c>
      <c r="H9" s="13">
        <f t="shared" si="6"/>
        <v>495.3314981</v>
      </c>
      <c r="I9" s="13">
        <f t="shared" si="17"/>
        <v>0.125</v>
      </c>
      <c r="J9" s="2"/>
      <c r="L9" s="14">
        <f t="shared" si="18"/>
        <v>2</v>
      </c>
      <c r="M9" s="14">
        <f t="shared" si="19"/>
        <v>5.5</v>
      </c>
      <c r="N9" s="14">
        <f t="shared" si="20"/>
        <v>5.75</v>
      </c>
      <c r="O9" s="14">
        <f t="shared" si="7"/>
        <v>5.625</v>
      </c>
      <c r="P9" s="14">
        <f t="shared" ref="P9:R9" si="21">3*SIN(0.5*M9)-0.5*M9+2
</f>
        <v>0.3949829762</v>
      </c>
      <c r="Q9" s="14">
        <f t="shared" si="21"/>
        <v>-0.08466201991</v>
      </c>
      <c r="R9" s="14">
        <f t="shared" si="21"/>
        <v>0.157053521</v>
      </c>
      <c r="S9" s="14">
        <f t="shared" si="9"/>
        <v>0.06203346714</v>
      </c>
      <c r="T9" s="14">
        <f t="shared" si="22"/>
        <v>0.125</v>
      </c>
      <c r="U9" s="4"/>
      <c r="W9" s="15">
        <f t="shared" si="23"/>
        <v>2</v>
      </c>
      <c r="X9" s="15">
        <f t="shared" si="24"/>
        <v>3.5</v>
      </c>
      <c r="Y9" s="15">
        <f t="shared" si="25"/>
        <v>3.75</v>
      </c>
      <c r="Z9" s="15">
        <f t="shared" si="10"/>
        <v>3.625</v>
      </c>
      <c r="AA9" s="15">
        <f t="shared" ref="AA9:AC9" si="26">COS(X9)^2-0.5*X9*EXP(0.3*X9)+5</f>
        <v>0.8760616706</v>
      </c>
      <c r="AB9" s="15">
        <f t="shared" si="26"/>
        <v>-0.1020889328</v>
      </c>
      <c r="AC9" s="16">
        <f t="shared" si="26"/>
        <v>0.4065506771</v>
      </c>
      <c r="AD9" s="15">
        <f t="shared" si="12"/>
        <v>0.3561634653</v>
      </c>
      <c r="AE9" s="15">
        <f t="shared" si="27"/>
        <v>0.125</v>
      </c>
    </row>
    <row r="10">
      <c r="A10" s="13">
        <f t="shared" si="13"/>
        <v>3</v>
      </c>
      <c r="B10" s="13">
        <f t="shared" si="14"/>
        <v>7.375</v>
      </c>
      <c r="C10" s="13">
        <f t="shared" si="15"/>
        <v>7.5</v>
      </c>
      <c r="D10" s="13">
        <f t="shared" si="4"/>
        <v>7.4375</v>
      </c>
      <c r="E10" s="13">
        <f t="shared" ref="E10:G10" si="28">B10^3-EXP(0.8*B10)-20</f>
        <v>16.09339151</v>
      </c>
      <c r="F10" s="13">
        <f t="shared" si="28"/>
        <v>-1.553793493</v>
      </c>
      <c r="G10" s="13">
        <f t="shared" si="28"/>
        <v>7.662432423</v>
      </c>
      <c r="H10" s="13">
        <f t="shared" si="6"/>
        <v>123.3145249</v>
      </c>
      <c r="I10" s="13">
        <f t="shared" si="17"/>
        <v>0.0625</v>
      </c>
      <c r="J10" s="2"/>
      <c r="L10" s="14">
        <f t="shared" si="18"/>
        <v>3</v>
      </c>
      <c r="M10" s="14">
        <f t="shared" si="19"/>
        <v>5.625</v>
      </c>
      <c r="N10" s="14">
        <f t="shared" si="20"/>
        <v>5.75</v>
      </c>
      <c r="O10" s="14">
        <f t="shared" si="7"/>
        <v>5.6875</v>
      </c>
      <c r="P10" s="14">
        <f t="shared" ref="P10:R10" si="29">3*SIN(0.5*M10)-0.5*M10+2
</f>
        <v>0.157053521</v>
      </c>
      <c r="Q10" s="14">
        <f t="shared" si="29"/>
        <v>-0.08466201991</v>
      </c>
      <c r="R10" s="14">
        <f t="shared" si="29"/>
        <v>0.03662558645</v>
      </c>
      <c r="S10" s="14">
        <f t="shared" si="9"/>
        <v>0.005752177311</v>
      </c>
      <c r="T10" s="14">
        <f t="shared" si="22"/>
        <v>0.0625</v>
      </c>
      <c r="U10" s="4"/>
      <c r="W10" s="15">
        <f t="shared" si="23"/>
        <v>3</v>
      </c>
      <c r="X10" s="15">
        <f t="shared" si="24"/>
        <v>3.625</v>
      </c>
      <c r="Y10" s="15">
        <f t="shared" si="25"/>
        <v>3.75</v>
      </c>
      <c r="Z10" s="15">
        <f t="shared" si="10"/>
        <v>3.6875</v>
      </c>
      <c r="AA10" s="15">
        <f t="shared" ref="AA10:AC10" si="30">COS(X10)^2-0.5*X10*EXP(0.3*X10)+5</f>
        <v>0.4065506771</v>
      </c>
      <c r="AB10" s="15">
        <f t="shared" si="30"/>
        <v>-0.1020889328</v>
      </c>
      <c r="AC10" s="16">
        <f t="shared" si="30"/>
        <v>0.1567799913</v>
      </c>
      <c r="AD10" s="15">
        <f t="shared" si="12"/>
        <v>0.06373901163</v>
      </c>
      <c r="AE10" s="15">
        <f t="shared" si="27"/>
        <v>0.0625</v>
      </c>
    </row>
    <row r="11">
      <c r="A11" s="13">
        <f t="shared" si="13"/>
        <v>4</v>
      </c>
      <c r="B11" s="13">
        <f t="shared" si="14"/>
        <v>7.4375</v>
      </c>
      <c r="C11" s="13">
        <f t="shared" si="15"/>
        <v>7.5</v>
      </c>
      <c r="D11" s="13">
        <f t="shared" si="4"/>
        <v>7.46875</v>
      </c>
      <c r="E11" s="13">
        <f t="shared" ref="E11:G11" si="31">B11^3-EXP(0.8*B11)-20</f>
        <v>7.662432423</v>
      </c>
      <c r="F11" s="13">
        <f t="shared" si="31"/>
        <v>-1.553793493</v>
      </c>
      <c r="G11" s="13">
        <f t="shared" si="31"/>
        <v>3.155403548</v>
      </c>
      <c r="H11" s="13">
        <f t="shared" si="6"/>
        <v>24.17806645</v>
      </c>
      <c r="I11" s="13">
        <f t="shared" si="17"/>
        <v>0.03125</v>
      </c>
      <c r="J11" s="2"/>
      <c r="L11" s="14">
        <f t="shared" si="18"/>
        <v>4</v>
      </c>
      <c r="M11" s="14">
        <f t="shared" si="19"/>
        <v>5.6875</v>
      </c>
      <c r="N11" s="14">
        <f t="shared" si="20"/>
        <v>5.75</v>
      </c>
      <c r="O11" s="14">
        <f t="shared" si="7"/>
        <v>5.71875</v>
      </c>
      <c r="P11" s="14">
        <f t="shared" ref="P11:R11" si="32">3*SIN(0.5*M11)-0.5*M11+2
</f>
        <v>0.03662558645</v>
      </c>
      <c r="Q11" s="14">
        <f t="shared" si="32"/>
        <v>-0.08466201991</v>
      </c>
      <c r="R11" s="14">
        <f t="shared" si="32"/>
        <v>-0.02391623409</v>
      </c>
      <c r="S11" s="14">
        <f t="shared" si="9"/>
        <v>-0.0008759460993</v>
      </c>
      <c r="T11" s="14">
        <f t="shared" si="22"/>
        <v>0.03125</v>
      </c>
      <c r="U11" s="4"/>
      <c r="W11" s="15">
        <f t="shared" si="23"/>
        <v>4</v>
      </c>
      <c r="X11" s="15">
        <f t="shared" si="24"/>
        <v>3.6875</v>
      </c>
      <c r="Y11" s="15">
        <f t="shared" si="25"/>
        <v>3.75</v>
      </c>
      <c r="Z11" s="15">
        <f t="shared" si="10"/>
        <v>3.71875</v>
      </c>
      <c r="AA11" s="15">
        <f t="shared" ref="AA11:AC11" si="33">COS(X11)^2-0.5*X11*EXP(0.3*X11)+5</f>
        <v>0.1567799913</v>
      </c>
      <c r="AB11" s="15">
        <f t="shared" si="33"/>
        <v>-0.1020889328</v>
      </c>
      <c r="AC11" s="16">
        <f t="shared" si="33"/>
        <v>0.02843680474</v>
      </c>
      <c r="AD11" s="15">
        <f t="shared" si="12"/>
        <v>0.004458322</v>
      </c>
      <c r="AE11" s="15">
        <f t="shared" si="27"/>
        <v>0.03125</v>
      </c>
    </row>
    <row r="12">
      <c r="A12" s="13">
        <f t="shared" si="13"/>
        <v>5</v>
      </c>
      <c r="B12" s="13">
        <f t="shared" si="14"/>
        <v>7.46875</v>
      </c>
      <c r="C12" s="13">
        <f t="shared" si="15"/>
        <v>7.5</v>
      </c>
      <c r="D12" s="13">
        <f t="shared" si="4"/>
        <v>7.484375</v>
      </c>
      <c r="E12" s="13">
        <f t="shared" ref="E12:G12" si="34">B12^3-EXP(0.8*B12)-20</f>
        <v>3.155403548</v>
      </c>
      <c r="F12" s="13">
        <f t="shared" si="34"/>
        <v>-1.553793493</v>
      </c>
      <c r="G12" s="13">
        <f t="shared" si="34"/>
        <v>0.8264500659</v>
      </c>
      <c r="H12" s="13">
        <f t="shared" si="6"/>
        <v>2.60778347</v>
      </c>
      <c r="I12" s="13">
        <f t="shared" si="17"/>
        <v>0.015625</v>
      </c>
      <c r="J12" s="2"/>
      <c r="L12" s="14">
        <f t="shared" si="18"/>
        <v>5</v>
      </c>
      <c r="M12" s="14">
        <f t="shared" si="19"/>
        <v>5.6875</v>
      </c>
      <c r="N12" s="14">
        <f t="shared" si="20"/>
        <v>5.71875</v>
      </c>
      <c r="O12" s="14">
        <f t="shared" si="7"/>
        <v>5.703125</v>
      </c>
      <c r="P12" s="14">
        <f t="shared" ref="P12:R12" si="35">3*SIN(0.5*M12)-0.5*M12+2
</f>
        <v>0.03662558645</v>
      </c>
      <c r="Q12" s="14">
        <f t="shared" si="35"/>
        <v>-0.02391623409</v>
      </c>
      <c r="R12" s="14">
        <f t="shared" si="35"/>
        <v>0.006380858403</v>
      </c>
      <c r="S12" s="14">
        <f t="shared" si="9"/>
        <v>0.0002337026811</v>
      </c>
      <c r="T12" s="14">
        <f t="shared" si="22"/>
        <v>0.015625</v>
      </c>
      <c r="U12" s="4"/>
      <c r="W12" s="15">
        <f t="shared" si="23"/>
        <v>5</v>
      </c>
      <c r="X12" s="15">
        <f t="shared" si="24"/>
        <v>3.71875</v>
      </c>
      <c r="Y12" s="15">
        <f t="shared" si="25"/>
        <v>3.75</v>
      </c>
      <c r="Z12" s="15">
        <f t="shared" si="10"/>
        <v>3.734375</v>
      </c>
      <c r="AA12" s="15">
        <f t="shared" ref="AA12:AC12" si="36">COS(X12)^2-0.5*X12*EXP(0.3*X12)+5</f>
        <v>0.02843680474</v>
      </c>
      <c r="AB12" s="15">
        <f t="shared" si="36"/>
        <v>-0.1020889328</v>
      </c>
      <c r="AC12" s="16">
        <f t="shared" si="36"/>
        <v>-0.03655916528</v>
      </c>
      <c r="AD12" s="15">
        <f t="shared" si="12"/>
        <v>-0.001039625845</v>
      </c>
      <c r="AE12" s="15">
        <f t="shared" si="27"/>
        <v>0.015625</v>
      </c>
    </row>
    <row r="13">
      <c r="A13" s="13">
        <f t="shared" si="13"/>
        <v>6</v>
      </c>
      <c r="B13" s="13">
        <f t="shared" si="14"/>
        <v>7.484375</v>
      </c>
      <c r="C13" s="13">
        <f t="shared" si="15"/>
        <v>7.5</v>
      </c>
      <c r="D13" s="13">
        <f t="shared" si="4"/>
        <v>7.4921875</v>
      </c>
      <c r="E13" s="13">
        <f t="shared" ref="E13:G13" si="37">B13^3-EXP(0.8*B13)-20</f>
        <v>0.8264500659</v>
      </c>
      <c r="F13" s="13">
        <f t="shared" si="37"/>
        <v>-1.553793493</v>
      </c>
      <c r="G13" s="13">
        <f t="shared" si="37"/>
        <v>-0.3572131729</v>
      </c>
      <c r="H13" s="13">
        <f t="shared" si="6"/>
        <v>-0.2952188503</v>
      </c>
      <c r="I13" s="13">
        <f t="shared" si="17"/>
        <v>0.0078125</v>
      </c>
      <c r="J13" s="2"/>
      <c r="L13" s="14">
        <f t="shared" si="18"/>
        <v>6</v>
      </c>
      <c r="M13" s="14">
        <f t="shared" si="19"/>
        <v>5.703125</v>
      </c>
      <c r="N13" s="14">
        <f t="shared" si="20"/>
        <v>5.71875</v>
      </c>
      <c r="O13" s="14">
        <f t="shared" si="7"/>
        <v>5.7109375</v>
      </c>
      <c r="P13" s="14">
        <f t="shared" ref="P13:R13" si="38">3*SIN(0.5*M13)-0.5*M13+2
</f>
        <v>0.006380858403</v>
      </c>
      <c r="Q13" s="14">
        <f t="shared" si="38"/>
        <v>-0.02391623409</v>
      </c>
      <c r="R13" s="14">
        <f t="shared" si="38"/>
        <v>-0.008761227986</v>
      </c>
      <c r="S13" s="14">
        <f t="shared" si="9"/>
        <v>-0.00005590415521</v>
      </c>
      <c r="T13" s="14">
        <f t="shared" si="22"/>
        <v>0.0078125</v>
      </c>
      <c r="U13" s="4"/>
      <c r="W13" s="15">
        <f t="shared" si="23"/>
        <v>6</v>
      </c>
      <c r="X13" s="15">
        <f t="shared" si="24"/>
        <v>3.71875</v>
      </c>
      <c r="Y13" s="15">
        <f t="shared" si="25"/>
        <v>3.734375</v>
      </c>
      <c r="Z13" s="15">
        <f t="shared" si="10"/>
        <v>3.7265625</v>
      </c>
      <c r="AA13" s="15">
        <f t="shared" ref="AA13:AC13" si="39">COS(X13)^2-0.5*X13*EXP(0.3*X13)+5</f>
        <v>0.02843680474</v>
      </c>
      <c r="AB13" s="15">
        <f t="shared" si="39"/>
        <v>-0.03655916528</v>
      </c>
      <c r="AC13" s="16">
        <f t="shared" si="39"/>
        <v>-0.003993708689</v>
      </c>
      <c r="AD13" s="15">
        <f t="shared" si="12"/>
        <v>-0.0001135683142</v>
      </c>
      <c r="AE13" s="15">
        <f t="shared" si="27"/>
        <v>0.0078125</v>
      </c>
    </row>
    <row r="14">
      <c r="A14" s="13">
        <f t="shared" si="13"/>
        <v>7</v>
      </c>
      <c r="B14" s="13">
        <f t="shared" si="14"/>
        <v>7.484375</v>
      </c>
      <c r="C14" s="13">
        <f t="shared" si="15"/>
        <v>7.4921875</v>
      </c>
      <c r="D14" s="13">
        <f t="shared" si="4"/>
        <v>7.48828125</v>
      </c>
      <c r="E14" s="13">
        <f t="shared" ref="E14:G14" si="40">B14^3-EXP(0.8*B14)-20</f>
        <v>0.8264500659</v>
      </c>
      <c r="F14" s="13">
        <f t="shared" si="40"/>
        <v>-0.3572131729</v>
      </c>
      <c r="G14" s="13">
        <f t="shared" si="40"/>
        <v>0.2362271477</v>
      </c>
      <c r="H14" s="13">
        <f t="shared" si="6"/>
        <v>0.1952299418</v>
      </c>
      <c r="I14" s="13">
        <f t="shared" si="17"/>
        <v>0.00390625</v>
      </c>
      <c r="J14" s="2"/>
      <c r="L14" s="14">
        <f t="shared" si="18"/>
        <v>7</v>
      </c>
      <c r="M14" s="14">
        <f t="shared" si="19"/>
        <v>5.703125</v>
      </c>
      <c r="N14" s="14">
        <f t="shared" si="20"/>
        <v>5.7109375</v>
      </c>
      <c r="O14" s="14">
        <f t="shared" si="7"/>
        <v>5.70703125</v>
      </c>
      <c r="P14" s="14">
        <f t="shared" ref="P14:R14" si="41">3*SIN(0.5*M14)-0.5*M14+2
</f>
        <v>0.006380858403</v>
      </c>
      <c r="Q14" s="14">
        <f t="shared" si="41"/>
        <v>-0.008761227986</v>
      </c>
      <c r="R14" s="14">
        <f t="shared" si="41"/>
        <v>-0.001188559107</v>
      </c>
      <c r="S14" s="14">
        <f t="shared" si="9"/>
        <v>-0.000007584027367</v>
      </c>
      <c r="T14" s="14">
        <f t="shared" si="22"/>
        <v>0.00390625</v>
      </c>
      <c r="U14" s="4"/>
      <c r="W14" s="15">
        <f t="shared" si="23"/>
        <v>7</v>
      </c>
      <c r="X14" s="15">
        <f t="shared" si="24"/>
        <v>3.71875</v>
      </c>
      <c r="Y14" s="15">
        <f t="shared" si="25"/>
        <v>3.7265625</v>
      </c>
      <c r="Z14" s="15">
        <f t="shared" si="10"/>
        <v>3.72265625</v>
      </c>
      <c r="AA14" s="15">
        <f t="shared" ref="AA14:AC14" si="42">COS(X14)^2-0.5*X14*EXP(0.3*X14)+5</f>
        <v>0.02843680474</v>
      </c>
      <c r="AB14" s="15">
        <f t="shared" si="42"/>
        <v>-0.003993708689</v>
      </c>
      <c r="AC14" s="16">
        <f t="shared" si="42"/>
        <v>0.0122385087</v>
      </c>
      <c r="AD14" s="15">
        <f t="shared" si="12"/>
        <v>0.0003480240822</v>
      </c>
      <c r="AE14" s="15">
        <f t="shared" si="27"/>
        <v>0.00390625</v>
      </c>
    </row>
    <row r="15">
      <c r="A15" s="13">
        <f t="shared" si="13"/>
        <v>8</v>
      </c>
      <c r="B15" s="13">
        <f t="shared" si="14"/>
        <v>7.48828125</v>
      </c>
      <c r="C15" s="13">
        <f t="shared" si="15"/>
        <v>7.4921875</v>
      </c>
      <c r="D15" s="13">
        <f t="shared" si="4"/>
        <v>7.490234375</v>
      </c>
      <c r="E15" s="13">
        <f t="shared" ref="E15:G15" si="43">B15^3-EXP(0.8*B15)-20</f>
        <v>0.2362271477</v>
      </c>
      <c r="F15" s="13">
        <f t="shared" si="43"/>
        <v>-0.3572131729</v>
      </c>
      <c r="G15" s="13">
        <f t="shared" si="43"/>
        <v>-0.06009009704</v>
      </c>
      <c r="H15" s="13">
        <f t="shared" si="6"/>
        <v>-0.01419491223</v>
      </c>
      <c r="I15" s="13">
        <f t="shared" si="17"/>
        <v>0.001953125</v>
      </c>
      <c r="J15" s="2"/>
      <c r="L15" s="14">
        <f t="shared" si="18"/>
        <v>8</v>
      </c>
      <c r="M15" s="14">
        <f t="shared" si="19"/>
        <v>5.703125</v>
      </c>
      <c r="N15" s="14">
        <f t="shared" si="20"/>
        <v>5.70703125</v>
      </c>
      <c r="O15" s="14">
        <f t="shared" si="7"/>
        <v>5.705078125</v>
      </c>
      <c r="P15" s="14">
        <f t="shared" ref="P15:R15" si="44">3*SIN(0.5*M15)-0.5*M15+2
</f>
        <v>0.006380858403</v>
      </c>
      <c r="Q15" s="14">
        <f t="shared" si="44"/>
        <v>-0.001188559107</v>
      </c>
      <c r="R15" s="14">
        <f t="shared" si="44"/>
        <v>0.002596557408</v>
      </c>
      <c r="S15" s="14">
        <f t="shared" si="9"/>
        <v>0.00001656826516</v>
      </c>
      <c r="T15" s="14">
        <f t="shared" si="22"/>
        <v>0.001953125</v>
      </c>
      <c r="U15" s="4"/>
      <c r="W15" s="15">
        <f t="shared" si="23"/>
        <v>8</v>
      </c>
      <c r="X15" s="15">
        <f t="shared" si="24"/>
        <v>3.72265625</v>
      </c>
      <c r="Y15" s="15">
        <f t="shared" si="25"/>
        <v>3.7265625</v>
      </c>
      <c r="Z15" s="15">
        <f t="shared" si="10"/>
        <v>3.724609375</v>
      </c>
      <c r="AA15" s="15">
        <f t="shared" ref="AA15:AC15" si="45">COS(X15)^2-0.5*X15*EXP(0.3*X15)+5</f>
        <v>0.0122385087</v>
      </c>
      <c r="AB15" s="15">
        <f t="shared" si="45"/>
        <v>-0.003993708689</v>
      </c>
      <c r="AC15" s="16">
        <f t="shared" si="45"/>
        <v>0.004126628605</v>
      </c>
      <c r="AD15" s="15">
        <f t="shared" si="12"/>
        <v>0.00005050378009</v>
      </c>
      <c r="AE15" s="15">
        <f t="shared" si="27"/>
        <v>0.001953125</v>
      </c>
    </row>
    <row r="16">
      <c r="A16" s="13">
        <f t="shared" si="13"/>
        <v>9</v>
      </c>
      <c r="B16" s="13">
        <f t="shared" si="14"/>
        <v>7.48828125</v>
      </c>
      <c r="C16" s="13">
        <f t="shared" si="15"/>
        <v>7.490234375</v>
      </c>
      <c r="D16" s="13">
        <f t="shared" si="4"/>
        <v>7.489257813</v>
      </c>
      <c r="E16" s="13">
        <f t="shared" ref="E16:G16" si="46">B16^3-EXP(0.8*B16)-20</f>
        <v>0.2362271477</v>
      </c>
      <c r="F16" s="13">
        <f t="shared" si="46"/>
        <v>-0.06009009704</v>
      </c>
      <c r="G16" s="13">
        <f t="shared" si="46"/>
        <v>0.08816916161</v>
      </c>
      <c r="H16" s="13">
        <f t="shared" si="6"/>
        <v>0.02082794956</v>
      </c>
      <c r="I16" s="13">
        <f t="shared" si="17"/>
        <v>0.0009765625</v>
      </c>
      <c r="J16" s="2"/>
      <c r="L16" s="14">
        <f t="shared" si="18"/>
        <v>9</v>
      </c>
      <c r="M16" s="14">
        <f t="shared" si="19"/>
        <v>5.705078125</v>
      </c>
      <c r="N16" s="14">
        <f t="shared" si="20"/>
        <v>5.70703125</v>
      </c>
      <c r="O16" s="14">
        <f t="shared" si="7"/>
        <v>5.706054688</v>
      </c>
      <c r="P16" s="14">
        <f t="shared" ref="P16:R16" si="47">3*SIN(0.5*M16)-0.5*M16+2
</f>
        <v>0.002596557408</v>
      </c>
      <c r="Q16" s="14">
        <f t="shared" si="47"/>
        <v>-0.001188559107</v>
      </c>
      <c r="R16" s="14">
        <f t="shared" si="47"/>
        <v>0.0007041009231</v>
      </c>
      <c r="S16" s="14">
        <f t="shared" si="9"/>
        <v>0.000001828238468</v>
      </c>
      <c r="T16" s="14">
        <f t="shared" si="22"/>
        <v>0.0009765625</v>
      </c>
      <c r="U16" s="4"/>
      <c r="W16" s="15">
        <f t="shared" si="23"/>
        <v>9</v>
      </c>
      <c r="X16" s="15">
        <f t="shared" si="24"/>
        <v>3.724609375</v>
      </c>
      <c r="Y16" s="15">
        <f t="shared" si="25"/>
        <v>3.7265625</v>
      </c>
      <c r="Z16" s="15">
        <f t="shared" si="10"/>
        <v>3.725585938</v>
      </c>
      <c r="AA16" s="15">
        <f t="shared" ref="AA16:AC16" si="48">COS(X16)^2-0.5*X16*EXP(0.3*X16)+5</f>
        <v>0.004126628605</v>
      </c>
      <c r="AB16" s="15">
        <f t="shared" si="48"/>
        <v>-0.003993708689</v>
      </c>
      <c r="AC16" s="16">
        <f t="shared" si="48"/>
        <v>0.00006751565884</v>
      </c>
      <c r="AD16" s="15">
        <f t="shared" si="12"/>
        <v>0.000000278612049</v>
      </c>
      <c r="AE16" s="15">
        <f t="shared" si="27"/>
        <v>0.0009765625</v>
      </c>
    </row>
    <row r="17">
      <c r="A17" s="13">
        <f t="shared" si="13"/>
        <v>10</v>
      </c>
      <c r="B17" s="13">
        <f t="shared" si="14"/>
        <v>7.489257813</v>
      </c>
      <c r="C17" s="13">
        <f t="shared" si="15"/>
        <v>7.490234375</v>
      </c>
      <c r="D17" s="13">
        <f t="shared" si="4"/>
        <v>7.489746094</v>
      </c>
      <c r="E17" s="13">
        <f t="shared" ref="E17:G17" si="49">B17^3-EXP(0.8*B17)-20</f>
        <v>0.08816916161</v>
      </c>
      <c r="F17" s="13">
        <f t="shared" si="49"/>
        <v>-0.06009009704</v>
      </c>
      <c r="G17" s="13">
        <f t="shared" si="49"/>
        <v>0.01406470292</v>
      </c>
      <c r="H17" s="13">
        <f t="shared" si="6"/>
        <v>0.001240073065</v>
      </c>
      <c r="I17" s="13">
        <f t="shared" si="17"/>
        <v>0.00048828125</v>
      </c>
      <c r="J17" s="2"/>
      <c r="L17" s="14">
        <f t="shared" si="18"/>
        <v>10</v>
      </c>
      <c r="M17" s="14">
        <f t="shared" si="19"/>
        <v>5.706054688</v>
      </c>
      <c r="N17" s="14">
        <f t="shared" si="20"/>
        <v>5.70703125</v>
      </c>
      <c r="O17" s="14">
        <f t="shared" si="7"/>
        <v>5.706542969</v>
      </c>
      <c r="P17" s="14">
        <f t="shared" ref="P17:R17" si="50">3*SIN(0.5*M17)-0.5*M17+2
</f>
        <v>0.0007041009231</v>
      </c>
      <c r="Q17" s="14">
        <f t="shared" si="50"/>
        <v>-0.001188559107</v>
      </c>
      <c r="R17" s="14">
        <f t="shared" si="50"/>
        <v>-0.0002422036698</v>
      </c>
      <c r="S17" s="14">
        <f t="shared" si="9"/>
        <v>-0.0000001705358275</v>
      </c>
      <c r="T17" s="14">
        <f t="shared" si="22"/>
        <v>0.00048828125</v>
      </c>
      <c r="U17" s="4"/>
      <c r="W17" s="15">
        <f t="shared" si="23"/>
        <v>10</v>
      </c>
      <c r="X17" s="15">
        <f t="shared" si="24"/>
        <v>3.725585938</v>
      </c>
      <c r="Y17" s="15">
        <f t="shared" si="25"/>
        <v>3.7265625</v>
      </c>
      <c r="Z17" s="15">
        <f t="shared" si="10"/>
        <v>3.726074219</v>
      </c>
      <c r="AA17" s="15">
        <f t="shared" ref="AA17:AC17" si="51">COS(X17)^2-0.5*X17*EXP(0.3*X17)+5</f>
        <v>0.00006751565884</v>
      </c>
      <c r="AB17" s="15">
        <f t="shared" si="51"/>
        <v>-0.003993708689</v>
      </c>
      <c r="AC17" s="16">
        <f t="shared" si="51"/>
        <v>-0.001962832771</v>
      </c>
      <c r="AD17" s="15">
        <f t="shared" si="12"/>
        <v>-0.0000001325219477</v>
      </c>
      <c r="AE17" s="15">
        <f t="shared" si="27"/>
        <v>0.00048828125</v>
      </c>
    </row>
    <row r="18">
      <c r="A18" s="13">
        <f t="shared" si="13"/>
        <v>11</v>
      </c>
      <c r="B18" s="13">
        <f t="shared" si="14"/>
        <v>7.489746094</v>
      </c>
      <c r="C18" s="13">
        <f t="shared" si="15"/>
        <v>7.490234375</v>
      </c>
      <c r="D18" s="13">
        <f t="shared" si="4"/>
        <v>7.489990234</v>
      </c>
      <c r="E18" s="13">
        <f t="shared" ref="E18:G18" si="52">B18^3-EXP(0.8*B18)-20</f>
        <v>0.01406470292</v>
      </c>
      <c r="F18" s="13">
        <f t="shared" si="52"/>
        <v>-0.06009009704</v>
      </c>
      <c r="G18" s="13">
        <f t="shared" si="52"/>
        <v>-0.02300640295</v>
      </c>
      <c r="H18" s="13">
        <f t="shared" si="6"/>
        <v>-0.0003235782228</v>
      </c>
      <c r="I18" s="13">
        <f t="shared" si="17"/>
        <v>0.000244140625</v>
      </c>
      <c r="J18" s="2"/>
      <c r="L18" s="14">
        <f t="shared" si="18"/>
        <v>11</v>
      </c>
      <c r="M18" s="17">
        <f t="shared" si="19"/>
        <v>5.706054688</v>
      </c>
      <c r="N18" s="17">
        <f t="shared" si="20"/>
        <v>5.706542969</v>
      </c>
      <c r="O18" s="17">
        <f t="shared" si="7"/>
        <v>5.706298828</v>
      </c>
      <c r="P18" s="14">
        <f t="shared" ref="P18:R18" si="53">3*SIN(0.5*M18)-0.5*M18+2
</f>
        <v>0.0007041009231</v>
      </c>
      <c r="Q18" s="14">
        <f t="shared" si="53"/>
        <v>-0.0002422036698</v>
      </c>
      <c r="R18" s="14">
        <f t="shared" si="53"/>
        <v>0.0002309549848</v>
      </c>
      <c r="S18" s="14">
        <f t="shared" si="9"/>
        <v>0.000000162615618</v>
      </c>
      <c r="T18" s="14">
        <f t="shared" si="22"/>
        <v>0.000244140625</v>
      </c>
      <c r="U18" s="4"/>
      <c r="W18" s="15">
        <f t="shared" si="23"/>
        <v>11</v>
      </c>
      <c r="X18" s="15">
        <f t="shared" si="24"/>
        <v>3.725585938</v>
      </c>
      <c r="Y18" s="15">
        <f t="shared" si="25"/>
        <v>3.726074219</v>
      </c>
      <c r="Z18" s="15">
        <f t="shared" si="10"/>
        <v>3.725830078</v>
      </c>
      <c r="AA18" s="15">
        <f t="shared" ref="AA18:AC18" si="54">COS(X18)^2-0.5*X18*EXP(0.3*X18)+5</f>
        <v>0.00006751565884</v>
      </c>
      <c r="AB18" s="15">
        <f t="shared" si="54"/>
        <v>-0.001962832771</v>
      </c>
      <c r="AC18" s="16">
        <f t="shared" si="54"/>
        <v>-0.0009475925974</v>
      </c>
      <c r="AD18" s="15">
        <f t="shared" si="12"/>
        <v>-0.00000006397733853</v>
      </c>
      <c r="AE18" s="15">
        <f t="shared" si="27"/>
        <v>0.000244140625</v>
      </c>
    </row>
    <row r="19">
      <c r="A19" s="13">
        <f t="shared" si="13"/>
        <v>12</v>
      </c>
      <c r="B19" s="13">
        <f t="shared" si="14"/>
        <v>7.489746094</v>
      </c>
      <c r="C19" s="13">
        <f t="shared" si="15"/>
        <v>7.489990234</v>
      </c>
      <c r="D19" s="13">
        <f t="shared" si="4"/>
        <v>7.489868164</v>
      </c>
      <c r="E19" s="13">
        <f t="shared" ref="E19:G19" si="55">B19^3-EXP(0.8*B19)-20</f>
        <v>0.01406470292</v>
      </c>
      <c r="F19" s="13">
        <f t="shared" si="55"/>
        <v>-0.02300640295</v>
      </c>
      <c r="G19" s="13">
        <f t="shared" si="55"/>
        <v>-0.00446927667</v>
      </c>
      <c r="H19" s="13">
        <f t="shared" si="6"/>
        <v>-0.00006285904864</v>
      </c>
      <c r="I19" s="13">
        <f t="shared" si="17"/>
        <v>0.0001220703125</v>
      </c>
      <c r="J19" s="2"/>
      <c r="L19" s="4"/>
      <c r="M19" s="4"/>
      <c r="N19" s="4"/>
      <c r="O19" s="4"/>
      <c r="P19" s="4"/>
      <c r="Q19" s="4"/>
      <c r="R19" s="4"/>
      <c r="S19" s="4"/>
      <c r="T19" s="4"/>
      <c r="U19" s="4"/>
      <c r="W19" s="15">
        <f t="shared" si="23"/>
        <v>12</v>
      </c>
      <c r="X19" s="15">
        <f t="shared" si="24"/>
        <v>3.725585938</v>
      </c>
      <c r="Y19" s="15">
        <f t="shared" si="25"/>
        <v>3.725830078</v>
      </c>
      <c r="Z19" s="15">
        <f t="shared" si="10"/>
        <v>3.725708008</v>
      </c>
      <c r="AA19" s="15">
        <f t="shared" ref="AA19:AC19" si="56">COS(X19)^2-0.5*X19*EXP(0.3*X19)+5</f>
        <v>0.00006751565884</v>
      </c>
      <c r="AB19" s="15">
        <f t="shared" si="56"/>
        <v>-0.0009475925974</v>
      </c>
      <c r="AC19" s="16">
        <f t="shared" si="56"/>
        <v>-0.0004400219768</v>
      </c>
      <c r="AD19" s="15">
        <f t="shared" si="12"/>
        <v>-0.00000002970837367</v>
      </c>
      <c r="AE19" s="15">
        <f t="shared" si="27"/>
        <v>0.0001220703125</v>
      </c>
    </row>
    <row r="20">
      <c r="A20" s="13">
        <f t="shared" si="13"/>
        <v>13</v>
      </c>
      <c r="B20" s="13">
        <f t="shared" si="14"/>
        <v>7.489746094</v>
      </c>
      <c r="C20" s="13">
        <f t="shared" si="15"/>
        <v>7.489868164</v>
      </c>
      <c r="D20" s="13">
        <f t="shared" si="4"/>
        <v>7.489807129</v>
      </c>
      <c r="E20" s="13">
        <f t="shared" ref="E20:G20" si="57">B20^3-EXP(0.8*B20)-20</f>
        <v>0.01406470292</v>
      </c>
      <c r="F20" s="13">
        <f t="shared" si="57"/>
        <v>-0.00446927667</v>
      </c>
      <c r="G20" s="13">
        <f t="shared" si="57"/>
        <v>0.004798106439</v>
      </c>
      <c r="H20" s="13">
        <f t="shared" si="6"/>
        <v>0.00006748394166</v>
      </c>
      <c r="I20" s="13">
        <f t="shared" si="17"/>
        <v>0.00006103515625</v>
      </c>
      <c r="J20" s="2"/>
      <c r="W20" s="15">
        <f t="shared" si="23"/>
        <v>13</v>
      </c>
      <c r="X20" s="15">
        <f t="shared" si="24"/>
        <v>3.725585938</v>
      </c>
      <c r="Y20" s="15">
        <f t="shared" si="25"/>
        <v>3.725708008</v>
      </c>
      <c r="Z20" s="15">
        <f t="shared" si="10"/>
        <v>3.725646973</v>
      </c>
      <c r="AA20" s="15">
        <f t="shared" ref="AA20:AC20" si="58">COS(X20)^2-0.5*X20*EXP(0.3*X20)+5</f>
        <v>0.00006751565884</v>
      </c>
      <c r="AB20" s="15">
        <f t="shared" si="58"/>
        <v>-0.0004400219768</v>
      </c>
      <c r="AC20" s="16">
        <f t="shared" si="58"/>
        <v>-0.0001862490355</v>
      </c>
      <c r="AD20" s="15">
        <f t="shared" si="12"/>
        <v>-0.00000001257472634</v>
      </c>
      <c r="AE20" s="15">
        <f t="shared" si="27"/>
        <v>0.00006103515625</v>
      </c>
    </row>
    <row r="21">
      <c r="A21" s="13">
        <f t="shared" si="13"/>
        <v>14</v>
      </c>
      <c r="B21" s="13">
        <f t="shared" si="14"/>
        <v>7.489807129</v>
      </c>
      <c r="C21" s="13">
        <f t="shared" si="15"/>
        <v>7.489868164</v>
      </c>
      <c r="D21" s="13">
        <f t="shared" si="4"/>
        <v>7.489837646</v>
      </c>
      <c r="E21" s="13">
        <f t="shared" ref="E21:G21" si="59">B21^3-EXP(0.8*B21)-20</f>
        <v>0.004798106439</v>
      </c>
      <c r="F21" s="13">
        <f t="shared" si="59"/>
        <v>-0.00446927667</v>
      </c>
      <c r="G21" s="13">
        <f t="shared" si="59"/>
        <v>0.0001645132162</v>
      </c>
      <c r="H21" s="13">
        <f t="shared" si="6"/>
        <v>0.000000789351922</v>
      </c>
      <c r="I21" s="13">
        <f t="shared" si="17"/>
        <v>0.00003051757813</v>
      </c>
      <c r="J21" s="2"/>
      <c r="L21" s="18" t="s">
        <v>15</v>
      </c>
      <c r="M21" s="19"/>
      <c r="N21" s="19"/>
      <c r="O21" s="19"/>
      <c r="P21" s="19"/>
      <c r="Q21" s="19"/>
      <c r="R21" s="19"/>
      <c r="S21" s="19"/>
      <c r="T21" s="19"/>
      <c r="U21" s="19"/>
      <c r="W21" s="15">
        <f t="shared" si="23"/>
        <v>14</v>
      </c>
      <c r="X21" s="15">
        <f t="shared" si="24"/>
        <v>3.725585938</v>
      </c>
      <c r="Y21" s="15">
        <f t="shared" si="25"/>
        <v>3.725646973</v>
      </c>
      <c r="Z21" s="15">
        <f t="shared" si="10"/>
        <v>3.725616455</v>
      </c>
      <c r="AA21" s="15">
        <f t="shared" ref="AA21:AC21" si="60">COS(X21)^2-0.5*X21*EXP(0.3*X21)+5</f>
        <v>0.00006751565884</v>
      </c>
      <c r="AB21" s="15">
        <f t="shared" si="60"/>
        <v>-0.0001862490355</v>
      </c>
      <c r="AC21" s="16">
        <f t="shared" si="60"/>
        <v>-0.00005936565742</v>
      </c>
      <c r="AD21" s="15">
        <f t="shared" si="12"/>
        <v>-0.000000004008111473</v>
      </c>
      <c r="AE21" s="15">
        <f t="shared" si="27"/>
        <v>0.00003051757813</v>
      </c>
    </row>
    <row r="22">
      <c r="A22" s="13">
        <f t="shared" si="13"/>
        <v>15</v>
      </c>
      <c r="B22" s="13">
        <f t="shared" si="14"/>
        <v>7.489837646</v>
      </c>
      <c r="C22" s="13">
        <f t="shared" si="15"/>
        <v>7.489868164</v>
      </c>
      <c r="D22" s="13">
        <f t="shared" si="4"/>
        <v>7.489852905</v>
      </c>
      <c r="E22" s="13">
        <f t="shared" ref="E22:G22" si="61">B22^3-EXP(0.8*B22)-20</f>
        <v>0.0001645132162</v>
      </c>
      <c r="F22" s="13">
        <f t="shared" si="61"/>
        <v>-0.00446927667</v>
      </c>
      <c r="G22" s="13">
        <f t="shared" si="61"/>
        <v>-0.002152357144</v>
      </c>
      <c r="H22" s="13">
        <f t="shared" si="6"/>
        <v>-0.0000003540911961</v>
      </c>
      <c r="I22" s="13">
        <f t="shared" si="17"/>
        <v>0.00001525878906</v>
      </c>
      <c r="J22" s="2"/>
      <c r="L22" s="20" t="s">
        <v>3</v>
      </c>
      <c r="M22" s="20">
        <v>-1.5</v>
      </c>
      <c r="N22" s="19"/>
      <c r="O22" s="19"/>
      <c r="P22" s="19"/>
      <c r="Q22" s="19"/>
      <c r="R22" s="19"/>
      <c r="S22" s="19"/>
      <c r="T22" s="19"/>
      <c r="U22" s="19"/>
      <c r="W22" s="15">
        <f t="shared" si="23"/>
        <v>15</v>
      </c>
      <c r="X22" s="15">
        <f t="shared" si="24"/>
        <v>3.725585938</v>
      </c>
      <c r="Y22" s="15">
        <f t="shared" si="25"/>
        <v>3.725616455</v>
      </c>
      <c r="Z22" s="15">
        <f t="shared" si="10"/>
        <v>3.725601196</v>
      </c>
      <c r="AA22" s="15">
        <f t="shared" ref="AA22:AC22" si="62">COS(X22)^2-0.5*X22*EXP(0.3*X22)+5</f>
        <v>0.00006751565884</v>
      </c>
      <c r="AB22" s="15">
        <f t="shared" si="62"/>
        <v>-0.00005936565742</v>
      </c>
      <c r="AC22" s="16">
        <f t="shared" si="62"/>
        <v>0.000004075258444</v>
      </c>
      <c r="AD22" s="15">
        <f t="shared" si="12"/>
        <v>0.0000000002751437588</v>
      </c>
      <c r="AE22" s="15">
        <f t="shared" si="27"/>
        <v>0.00001525878906</v>
      </c>
    </row>
    <row r="23">
      <c r="A23" s="13">
        <f t="shared" si="13"/>
        <v>16</v>
      </c>
      <c r="B23" s="13">
        <f t="shared" si="14"/>
        <v>7.489837646</v>
      </c>
      <c r="C23" s="13">
        <f t="shared" si="15"/>
        <v>7.489852905</v>
      </c>
      <c r="D23" s="13">
        <f t="shared" si="4"/>
        <v>7.489845276</v>
      </c>
      <c r="E23" s="13">
        <f t="shared" ref="E23:G23" si="63">B23^3-EXP(0.8*B23)-20</f>
        <v>0.0001645132162</v>
      </c>
      <c r="F23" s="13">
        <f t="shared" si="63"/>
        <v>-0.002152357144</v>
      </c>
      <c r="G23" s="13">
        <f t="shared" si="63"/>
        <v>-0.0009939158181</v>
      </c>
      <c r="H23" s="13">
        <f t="shared" si="6"/>
        <v>-0.0000001635122879</v>
      </c>
      <c r="I23" s="13">
        <f t="shared" si="17"/>
        <v>0.000007629394531</v>
      </c>
      <c r="J23" s="2"/>
      <c r="L23" s="20" t="s">
        <v>4</v>
      </c>
      <c r="M23" s="20">
        <v>-1.0</v>
      </c>
      <c r="N23" s="19"/>
      <c r="O23" s="19"/>
      <c r="P23" s="19"/>
      <c r="Q23" s="19"/>
      <c r="R23" s="19"/>
      <c r="S23" s="19"/>
      <c r="T23" s="19"/>
      <c r="U23" s="19"/>
      <c r="W23" s="15">
        <f t="shared" si="23"/>
        <v>16</v>
      </c>
      <c r="X23" s="15">
        <f t="shared" si="24"/>
        <v>3.725601196</v>
      </c>
      <c r="Y23" s="15">
        <f t="shared" si="25"/>
        <v>3.725616455</v>
      </c>
      <c r="Z23" s="15">
        <f t="shared" si="10"/>
        <v>3.725608826</v>
      </c>
      <c r="AA23" s="15">
        <f t="shared" ref="AA23:AC23" si="64">COS(X23)^2-0.5*X23*EXP(0.3*X23)+5</f>
        <v>0.000004075258444</v>
      </c>
      <c r="AB23" s="15">
        <f t="shared" si="64"/>
        <v>-0.00005936565742</v>
      </c>
      <c r="AC23" s="16">
        <f t="shared" si="64"/>
        <v>-0.00002764513505</v>
      </c>
      <c r="AD23" s="15">
        <f t="shared" si="12"/>
        <v>-0.0000000001126610701</v>
      </c>
      <c r="AE23" s="15">
        <f t="shared" si="27"/>
        <v>0.000007629394531</v>
      </c>
    </row>
    <row r="24">
      <c r="A24" s="13">
        <f t="shared" si="13"/>
        <v>17</v>
      </c>
      <c r="B24" s="13">
        <f t="shared" si="14"/>
        <v>7.489837646</v>
      </c>
      <c r="C24" s="13">
        <f t="shared" si="15"/>
        <v>7.489845276</v>
      </c>
      <c r="D24" s="13">
        <f t="shared" si="4"/>
        <v>7.489841461</v>
      </c>
      <c r="E24" s="13">
        <f t="shared" ref="E24:G24" si="65">B24^3-EXP(0.8*B24)-20</f>
        <v>0.0001645132162</v>
      </c>
      <c r="F24" s="13">
        <f t="shared" si="65"/>
        <v>-0.0009939158181</v>
      </c>
      <c r="G24" s="13">
        <f t="shared" si="65"/>
        <v>-0.0004146997646</v>
      </c>
      <c r="H24" s="13">
        <f t="shared" si="6"/>
        <v>-0.00000006822359202</v>
      </c>
      <c r="I24" s="13">
        <f t="shared" si="17"/>
        <v>0.000003814697266</v>
      </c>
      <c r="J24" s="2"/>
      <c r="L24" s="20" t="s">
        <v>5</v>
      </c>
      <c r="M24" s="20">
        <v>1.0E-6</v>
      </c>
      <c r="N24" s="19"/>
      <c r="O24" s="19"/>
      <c r="P24" s="19"/>
      <c r="Q24" s="19"/>
      <c r="R24" s="19"/>
      <c r="S24" s="19"/>
      <c r="T24" s="19"/>
      <c r="U24" s="19"/>
      <c r="W24" s="15">
        <f t="shared" si="23"/>
        <v>17</v>
      </c>
      <c r="X24" s="15">
        <f t="shared" si="24"/>
        <v>3.725601196</v>
      </c>
      <c r="Y24" s="15">
        <f t="shared" si="25"/>
        <v>3.725608826</v>
      </c>
      <c r="Z24" s="15">
        <f t="shared" si="10"/>
        <v>3.725605011</v>
      </c>
      <c r="AA24" s="15">
        <f t="shared" ref="AA24:AC24" si="66">COS(X24)^2-0.5*X24*EXP(0.3*X24)+5</f>
        <v>0.000004075258444</v>
      </c>
      <c r="AB24" s="15">
        <f t="shared" si="66"/>
        <v>-0.00002764513505</v>
      </c>
      <c r="AC24" s="16">
        <f t="shared" si="66"/>
        <v>-0.0000117849222</v>
      </c>
      <c r="AD24" s="15">
        <f t="shared" si="12"/>
        <v>0</v>
      </c>
      <c r="AE24" s="15">
        <f t="shared" si="27"/>
        <v>0.000003814697266</v>
      </c>
    </row>
    <row r="25">
      <c r="A25" s="13">
        <f t="shared" si="13"/>
        <v>18</v>
      </c>
      <c r="B25" s="13">
        <f t="shared" si="14"/>
        <v>7.489837646</v>
      </c>
      <c r="C25" s="13">
        <f t="shared" si="15"/>
        <v>7.489841461</v>
      </c>
      <c r="D25" s="13">
        <f t="shared" si="4"/>
        <v>7.489839554</v>
      </c>
      <c r="E25" s="13">
        <f t="shared" ref="E25:G25" si="67">B25^3-EXP(0.8*B25)-20</f>
        <v>0.0001645132162</v>
      </c>
      <c r="F25" s="13">
        <f t="shared" si="67"/>
        <v>-0.0004146997646</v>
      </c>
      <c r="G25" s="13">
        <f t="shared" si="67"/>
        <v>-0.0001250928903</v>
      </c>
      <c r="H25" s="13">
        <f t="shared" si="6"/>
        <v>-0.00000002057943371</v>
      </c>
      <c r="I25" s="13">
        <f t="shared" si="17"/>
        <v>0.000001907348633</v>
      </c>
      <c r="J25" s="2"/>
      <c r="L25" s="19"/>
      <c r="M25" s="19"/>
      <c r="N25" s="19"/>
      <c r="O25" s="19"/>
      <c r="P25" s="19"/>
      <c r="Q25" s="19"/>
      <c r="R25" s="19"/>
      <c r="S25" s="19"/>
      <c r="T25" s="19"/>
      <c r="U25" s="19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13">
        <f t="shared" si="13"/>
        <v>19</v>
      </c>
      <c r="B26" s="13">
        <f t="shared" si="14"/>
        <v>7.489837646</v>
      </c>
      <c r="C26" s="13">
        <f t="shared" si="15"/>
        <v>7.489839554</v>
      </c>
      <c r="D26" s="13">
        <f t="shared" si="4"/>
        <v>7.4898386</v>
      </c>
      <c r="E26" s="13">
        <f t="shared" ref="E26:G26" si="68">B26^3-EXP(0.8*B26)-20</f>
        <v>0.0001645132162</v>
      </c>
      <c r="F26" s="13">
        <f t="shared" si="68"/>
        <v>-0.0001250928903</v>
      </c>
      <c r="G26" s="13">
        <f t="shared" si="68"/>
        <v>0.00001971025915</v>
      </c>
      <c r="H26" s="13">
        <f t="shared" si="6"/>
        <v>0.000000003242598125</v>
      </c>
      <c r="I26" s="13">
        <f t="shared" si="17"/>
        <v>0.0000009536743164</v>
      </c>
      <c r="J26" s="2"/>
      <c r="L26" s="21" t="s">
        <v>6</v>
      </c>
      <c r="M26" s="21" t="s">
        <v>7</v>
      </c>
      <c r="N26" s="21" t="s">
        <v>8</v>
      </c>
      <c r="O26" s="21" t="s">
        <v>9</v>
      </c>
      <c r="P26" s="21" t="s">
        <v>10</v>
      </c>
      <c r="Q26" s="21" t="s">
        <v>11</v>
      </c>
      <c r="R26" s="21" t="s">
        <v>12</v>
      </c>
      <c r="S26" s="21" t="s">
        <v>13</v>
      </c>
      <c r="T26" s="21" t="s">
        <v>14</v>
      </c>
      <c r="U26" s="19"/>
    </row>
    <row r="27">
      <c r="A27" s="13">
        <f t="shared" si="13"/>
        <v>20</v>
      </c>
      <c r="B27" s="13">
        <f t="shared" si="14"/>
        <v>7.4898386</v>
      </c>
      <c r="C27" s="13">
        <f t="shared" si="15"/>
        <v>7.489839554</v>
      </c>
      <c r="D27" s="13">
        <f t="shared" si="4"/>
        <v>7.489839077</v>
      </c>
      <c r="E27" s="13">
        <f t="shared" ref="E27:G27" si="69">B27^3-EXP(0.8*B27)-20</f>
        <v>0.00001971025915</v>
      </c>
      <c r="F27" s="13">
        <f t="shared" si="69"/>
        <v>-0.0001250928903</v>
      </c>
      <c r="G27" s="13">
        <f t="shared" si="69"/>
        <v>-0.00005269129156</v>
      </c>
      <c r="H27" s="13">
        <f t="shared" si="6"/>
        <v>-0.000000001038559012</v>
      </c>
      <c r="I27" s="13">
        <f t="shared" si="17"/>
        <v>0.0000004768371582</v>
      </c>
      <c r="J27" s="2"/>
      <c r="L27" s="21">
        <v>0.0</v>
      </c>
      <c r="M27" s="22">
        <f>$M$22</f>
        <v>-1.5</v>
      </c>
      <c r="N27" s="22">
        <f>$M$23</f>
        <v>-1</v>
      </c>
      <c r="O27" s="22">
        <f t="shared" ref="O27:O45" si="72">(M27+N27)/2</f>
        <v>-1.25</v>
      </c>
      <c r="P27" s="22">
        <f t="shared" ref="P27:R27" si="70">M27^3-M27^2*EXP(-0.5*M27)-3*M27+1</f>
        <v>-2.638250037</v>
      </c>
      <c r="Q27" s="22">
        <f t="shared" si="70"/>
        <v>1.351278729</v>
      </c>
      <c r="R27" s="22">
        <f t="shared" si="70"/>
        <v>-0.1222593085</v>
      </c>
      <c r="S27" s="22">
        <f t="shared" ref="S27:S45" si="74">P27*R27</f>
        <v>0.3225506252</v>
      </c>
      <c r="T27" s="22"/>
      <c r="U27" s="19"/>
    </row>
    <row r="28">
      <c r="A28" s="13">
        <f t="shared" si="13"/>
        <v>21</v>
      </c>
      <c r="B28" s="13">
        <f t="shared" si="14"/>
        <v>7.4898386</v>
      </c>
      <c r="C28" s="13">
        <f t="shared" si="15"/>
        <v>7.489839077</v>
      </c>
      <c r="D28" s="13">
        <f t="shared" si="4"/>
        <v>7.489838839</v>
      </c>
      <c r="E28" s="13">
        <f t="shared" ref="E28:G28" si="71">B28^3-EXP(0.8*B28)-20</f>
        <v>0.00001971025915</v>
      </c>
      <c r="F28" s="13">
        <f t="shared" si="71"/>
        <v>-0.00005269129156</v>
      </c>
      <c r="G28" s="13">
        <f t="shared" si="71"/>
        <v>-0.00001649051018</v>
      </c>
      <c r="H28" s="13">
        <f t="shared" si="6"/>
        <v>-0.0000000003250322291</v>
      </c>
      <c r="I28" s="13">
        <f t="shared" si="17"/>
        <v>0.0000002384185791</v>
      </c>
      <c r="J28" s="2"/>
      <c r="L28" s="22">
        <f t="shared" ref="L28:L45" si="76">L27+1</f>
        <v>1</v>
      </c>
      <c r="M28" s="22">
        <f t="shared" ref="M28:M45" si="77">IF(S27&lt;0,M27,O27)</f>
        <v>-1.25</v>
      </c>
      <c r="N28" s="22">
        <f t="shared" ref="N28:N45" si="78">IF(S27&lt;0,O27,N27)</f>
        <v>-1</v>
      </c>
      <c r="O28" s="22">
        <f t="shared" si="72"/>
        <v>-1.125</v>
      </c>
      <c r="P28" s="22">
        <f t="shared" ref="P28:R28" si="73">M28^3-M28^2*EXP(-0.5*M28)-3*M28+1</f>
        <v>-0.1222593085</v>
      </c>
      <c r="Q28" s="22">
        <f t="shared" si="73"/>
        <v>1.351278729</v>
      </c>
      <c r="R28" s="22">
        <f t="shared" si="73"/>
        <v>0.7299308248</v>
      </c>
      <c r="S28" s="22">
        <f t="shared" si="74"/>
        <v>-0.08924083788</v>
      </c>
      <c r="T28" s="22">
        <f t="shared" ref="T28:T45" si="80">ABS(O28-O27)</f>
        <v>0.125</v>
      </c>
      <c r="U28" s="19"/>
    </row>
    <row r="29">
      <c r="A29" s="13">
        <f t="shared" si="13"/>
        <v>22</v>
      </c>
      <c r="B29" s="17">
        <f t="shared" si="14"/>
        <v>7.4898386</v>
      </c>
      <c r="C29" s="17">
        <f t="shared" si="15"/>
        <v>7.489838839</v>
      </c>
      <c r="D29" s="17">
        <f t="shared" si="4"/>
        <v>7.489838719</v>
      </c>
      <c r="E29" s="13">
        <f t="shared" ref="E29:G29" si="75">B29^3-EXP(0.8*B29)-20</f>
        <v>0.00001971025915</v>
      </c>
      <c r="F29" s="13">
        <f t="shared" si="75"/>
        <v>-0.00001649051018</v>
      </c>
      <c r="G29" s="13">
        <f t="shared" si="75"/>
        <v>0.000001609875767</v>
      </c>
      <c r="H29" s="13">
        <f t="shared" si="6"/>
        <v>0</v>
      </c>
      <c r="I29" s="13">
        <f t="shared" si="17"/>
        <v>0.0000001192092896</v>
      </c>
      <c r="J29" s="2"/>
      <c r="L29" s="22">
        <f t="shared" si="76"/>
        <v>2</v>
      </c>
      <c r="M29" s="22">
        <f t="shared" si="77"/>
        <v>-1.25</v>
      </c>
      <c r="N29" s="22">
        <f t="shared" si="78"/>
        <v>-1.125</v>
      </c>
      <c r="O29" s="22">
        <f t="shared" si="72"/>
        <v>-1.1875</v>
      </c>
      <c r="P29" s="22">
        <f t="shared" ref="P29:R29" si="79">M29^3-M29^2*EXP(-0.5*M29)-3*M29+1</f>
        <v>-0.1222593085</v>
      </c>
      <c r="Q29" s="22">
        <f t="shared" si="79"/>
        <v>0.7299308248</v>
      </c>
      <c r="R29" s="22">
        <f t="shared" si="79"/>
        <v>0.3344763592</v>
      </c>
      <c r="S29" s="22">
        <f t="shared" si="74"/>
        <v>-0.04089284839</v>
      </c>
      <c r="T29" s="22">
        <f t="shared" si="80"/>
        <v>0.0625</v>
      </c>
      <c r="U29" s="19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L30" s="22">
        <f t="shared" si="76"/>
        <v>3</v>
      </c>
      <c r="M30" s="22">
        <f t="shared" si="77"/>
        <v>-1.25</v>
      </c>
      <c r="N30" s="22">
        <f t="shared" si="78"/>
        <v>-1.1875</v>
      </c>
      <c r="O30" s="22">
        <f t="shared" si="72"/>
        <v>-1.21875</v>
      </c>
      <c r="P30" s="22">
        <f t="shared" ref="P30:R30" si="81">M30^3-M30^2*EXP(-0.5*M30)-3*M30+1</f>
        <v>-0.1222593085</v>
      </c>
      <c r="Q30" s="22">
        <f t="shared" si="81"/>
        <v>0.3344763592</v>
      </c>
      <c r="R30" s="22">
        <f t="shared" si="81"/>
        <v>0.1139981503</v>
      </c>
      <c r="S30" s="22">
        <f t="shared" si="74"/>
        <v>-0.01393733503</v>
      </c>
      <c r="T30" s="22">
        <f t="shared" si="80"/>
        <v>0.03125</v>
      </c>
      <c r="U30" s="19"/>
    </row>
    <row r="31">
      <c r="A31" s="1" t="s">
        <v>0</v>
      </c>
      <c r="B31" s="2"/>
      <c r="C31" s="2"/>
      <c r="D31" s="2"/>
      <c r="E31" s="2"/>
      <c r="F31" s="2"/>
      <c r="G31" s="2"/>
      <c r="H31" s="2"/>
      <c r="I31" s="2"/>
      <c r="J31" s="2"/>
      <c r="L31" s="22">
        <f t="shared" si="76"/>
        <v>4</v>
      </c>
      <c r="M31" s="22">
        <f t="shared" si="77"/>
        <v>-1.25</v>
      </c>
      <c r="N31" s="22">
        <f t="shared" si="78"/>
        <v>-1.21875</v>
      </c>
      <c r="O31" s="22">
        <f t="shared" si="72"/>
        <v>-1.234375</v>
      </c>
      <c r="P31" s="22">
        <f t="shared" ref="P31:R31" si="82">M31^3-M31^2*EXP(-0.5*M31)-3*M31+1</f>
        <v>-0.1222593085</v>
      </c>
      <c r="Q31" s="22">
        <f t="shared" si="82"/>
        <v>0.1139981503</v>
      </c>
      <c r="R31" s="22">
        <f t="shared" si="82"/>
        <v>-0.002129079815</v>
      </c>
      <c r="S31" s="22">
        <f t="shared" si="74"/>
        <v>0.0002602998259</v>
      </c>
      <c r="T31" s="22">
        <f t="shared" si="80"/>
        <v>0.015625</v>
      </c>
      <c r="U31" s="19"/>
    </row>
    <row r="32">
      <c r="A32" s="7" t="s">
        <v>3</v>
      </c>
      <c r="B32" s="7">
        <v>2.0</v>
      </c>
      <c r="C32" s="2"/>
      <c r="D32" s="2"/>
      <c r="E32" s="2"/>
      <c r="F32" s="2"/>
      <c r="G32" s="2"/>
      <c r="H32" s="2"/>
      <c r="I32" s="2"/>
      <c r="J32" s="2"/>
      <c r="L32" s="22">
        <f t="shared" si="76"/>
        <v>5</v>
      </c>
      <c r="M32" s="22">
        <f t="shared" si="77"/>
        <v>-1.234375</v>
      </c>
      <c r="N32" s="22">
        <f t="shared" si="78"/>
        <v>-1.21875</v>
      </c>
      <c r="O32" s="22">
        <f t="shared" si="72"/>
        <v>-1.2265625</v>
      </c>
      <c r="P32" s="22">
        <f t="shared" ref="P32:R32" si="83">M32^3-M32^2*EXP(-0.5*M32)-3*M32+1</f>
        <v>-0.002129079815</v>
      </c>
      <c r="Q32" s="22">
        <f t="shared" si="83"/>
        <v>0.1139981503</v>
      </c>
      <c r="R32" s="22">
        <f t="shared" si="83"/>
        <v>0.05643125491</v>
      </c>
      <c r="S32" s="22">
        <f t="shared" si="74"/>
        <v>-0.0001201466458</v>
      </c>
      <c r="T32" s="22">
        <f t="shared" si="80"/>
        <v>0.0078125</v>
      </c>
      <c r="U32" s="19"/>
    </row>
    <row r="33">
      <c r="A33" s="7" t="s">
        <v>4</v>
      </c>
      <c r="B33" s="7">
        <v>4.0</v>
      </c>
      <c r="C33" s="2"/>
      <c r="D33" s="2"/>
      <c r="E33" s="2"/>
      <c r="F33" s="2"/>
      <c r="G33" s="2"/>
      <c r="H33" s="2"/>
      <c r="I33" s="2"/>
      <c r="J33" s="2"/>
      <c r="L33" s="22">
        <f t="shared" si="76"/>
        <v>6</v>
      </c>
      <c r="M33" s="22">
        <f t="shared" si="77"/>
        <v>-1.234375</v>
      </c>
      <c r="N33" s="22">
        <f t="shared" si="78"/>
        <v>-1.2265625</v>
      </c>
      <c r="O33" s="22">
        <f t="shared" si="72"/>
        <v>-1.23046875</v>
      </c>
      <c r="P33" s="22">
        <f t="shared" ref="P33:R33" si="84">M33^3-M33^2*EXP(-0.5*M33)-3*M33+1</f>
        <v>-0.002129079815</v>
      </c>
      <c r="Q33" s="22">
        <f t="shared" si="84"/>
        <v>0.05643125491</v>
      </c>
      <c r="R33" s="22">
        <f t="shared" si="84"/>
        <v>0.02727572319</v>
      </c>
      <c r="S33" s="22">
        <f t="shared" si="74"/>
        <v>-0.00005807219168</v>
      </c>
      <c r="T33" s="22">
        <f t="shared" si="80"/>
        <v>0.00390625</v>
      </c>
      <c r="U33" s="19"/>
    </row>
    <row r="34">
      <c r="A34" s="7" t="s">
        <v>5</v>
      </c>
      <c r="B34" s="7">
        <v>1.0E-6</v>
      </c>
      <c r="C34" s="2"/>
      <c r="D34" s="2"/>
      <c r="E34" s="2"/>
      <c r="F34" s="2"/>
      <c r="G34" s="2"/>
      <c r="H34" s="2"/>
      <c r="I34" s="2"/>
      <c r="J34" s="2"/>
      <c r="L34" s="22">
        <f t="shared" si="76"/>
        <v>7</v>
      </c>
      <c r="M34" s="22">
        <f t="shared" si="77"/>
        <v>-1.234375</v>
      </c>
      <c r="N34" s="22">
        <f t="shared" si="78"/>
        <v>-1.23046875</v>
      </c>
      <c r="O34" s="22">
        <f t="shared" si="72"/>
        <v>-1.232421875</v>
      </c>
      <c r="P34" s="22">
        <f t="shared" ref="P34:R34" si="85">M34^3-M34^2*EXP(-0.5*M34)-3*M34+1</f>
        <v>-0.002129079815</v>
      </c>
      <c r="Q34" s="22">
        <f t="shared" si="85"/>
        <v>0.02727572319</v>
      </c>
      <c r="R34" s="22">
        <f t="shared" si="85"/>
        <v>0.01260453767</v>
      </c>
      <c r="S34" s="22">
        <f t="shared" si="74"/>
        <v>-0.00002683606672</v>
      </c>
      <c r="T34" s="22">
        <f t="shared" si="80"/>
        <v>0.001953125</v>
      </c>
      <c r="U34" s="19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L35" s="22">
        <f t="shared" si="76"/>
        <v>8</v>
      </c>
      <c r="M35" s="22">
        <f t="shared" si="77"/>
        <v>-1.234375</v>
      </c>
      <c r="N35" s="22">
        <f t="shared" si="78"/>
        <v>-1.232421875</v>
      </c>
      <c r="O35" s="22">
        <f t="shared" si="72"/>
        <v>-1.233398438</v>
      </c>
      <c r="P35" s="22">
        <f t="shared" ref="P35:R35" si="86">M35^3-M35^2*EXP(-0.5*M35)-3*M35+1</f>
        <v>-0.002129079815</v>
      </c>
      <c r="Q35" s="22">
        <f t="shared" si="86"/>
        <v>0.01260453767</v>
      </c>
      <c r="R35" s="22">
        <f t="shared" si="86"/>
        <v>0.005245540061</v>
      </c>
      <c r="S35" s="22">
        <f t="shared" si="74"/>
        <v>-0.00001116817346</v>
      </c>
      <c r="T35" s="22">
        <f t="shared" si="80"/>
        <v>0.0009765625</v>
      </c>
      <c r="U35" s="19"/>
    </row>
    <row r="36">
      <c r="A36" s="10" t="s">
        <v>6</v>
      </c>
      <c r="B36" s="10" t="s">
        <v>7</v>
      </c>
      <c r="C36" s="10" t="s">
        <v>8</v>
      </c>
      <c r="D36" s="10" t="s">
        <v>9</v>
      </c>
      <c r="E36" s="10" t="s">
        <v>10</v>
      </c>
      <c r="F36" s="10" t="s">
        <v>11</v>
      </c>
      <c r="G36" s="10" t="s">
        <v>12</v>
      </c>
      <c r="H36" s="10" t="s">
        <v>13</v>
      </c>
      <c r="I36" s="10" t="s">
        <v>14</v>
      </c>
      <c r="J36" s="2"/>
      <c r="L36" s="22">
        <f t="shared" si="76"/>
        <v>9</v>
      </c>
      <c r="M36" s="22">
        <f t="shared" si="77"/>
        <v>-1.234375</v>
      </c>
      <c r="N36" s="22">
        <f t="shared" si="78"/>
        <v>-1.233398438</v>
      </c>
      <c r="O36" s="22">
        <f t="shared" si="72"/>
        <v>-1.233886719</v>
      </c>
      <c r="P36" s="22">
        <f t="shared" ref="P36:R36" si="87">M36^3-M36^2*EXP(-0.5*M36)-3*M36+1</f>
        <v>-0.002129079815</v>
      </c>
      <c r="Q36" s="22">
        <f t="shared" si="87"/>
        <v>0.005245540061</v>
      </c>
      <c r="R36" s="22">
        <f t="shared" si="87"/>
        <v>0.001560183799</v>
      </c>
      <c r="S36" s="22">
        <f t="shared" si="74"/>
        <v>-0.000003321755835</v>
      </c>
      <c r="T36" s="22">
        <f t="shared" si="80"/>
        <v>0.00048828125</v>
      </c>
      <c r="U36" s="19"/>
    </row>
    <row r="37">
      <c r="A37" s="10">
        <v>0.0</v>
      </c>
      <c r="B37" s="13">
        <f>$B$32</f>
        <v>2</v>
      </c>
      <c r="C37" s="13">
        <f>$B$33</f>
        <v>4</v>
      </c>
      <c r="D37" s="13">
        <f t="shared" ref="D37:D57" si="90">(B37+C37)/2</f>
        <v>3</v>
      </c>
      <c r="E37" s="13">
        <f t="shared" ref="E37:G37" si="88">B37^3-EXP(0.8*B37)-20</f>
        <v>-16.95303242</v>
      </c>
      <c r="F37" s="13">
        <f t="shared" si="88"/>
        <v>19.4674698</v>
      </c>
      <c r="G37" s="13">
        <f t="shared" si="88"/>
        <v>-4.023176381</v>
      </c>
      <c r="H37" s="13">
        <f t="shared" ref="H37:H57" si="92">E37*G37</f>
        <v>68.20503963</v>
      </c>
      <c r="I37" s="13"/>
      <c r="J37" s="2"/>
      <c r="L37" s="22">
        <f t="shared" si="76"/>
        <v>10</v>
      </c>
      <c r="M37" s="22">
        <f t="shared" si="77"/>
        <v>-1.234375</v>
      </c>
      <c r="N37" s="22">
        <f t="shared" si="78"/>
        <v>-1.233886719</v>
      </c>
      <c r="O37" s="22">
        <f t="shared" si="72"/>
        <v>-1.234130859</v>
      </c>
      <c r="P37" s="22">
        <f t="shared" ref="P37:R37" si="89">M37^3-M37^2*EXP(-0.5*M37)-3*M37+1</f>
        <v>-0.002129079815</v>
      </c>
      <c r="Q37" s="22">
        <f t="shared" si="89"/>
        <v>0.001560183799</v>
      </c>
      <c r="R37" s="22">
        <f t="shared" si="89"/>
        <v>-0.000283959477</v>
      </c>
      <c r="S37" s="22">
        <f t="shared" si="74"/>
        <v>0.0000006045723908</v>
      </c>
      <c r="T37" s="22">
        <f t="shared" si="80"/>
        <v>0.000244140625</v>
      </c>
      <c r="U37" s="19"/>
    </row>
    <row r="38">
      <c r="A38" s="13">
        <f t="shared" ref="A38:A57" si="94">A37+1</f>
        <v>1</v>
      </c>
      <c r="B38" s="13">
        <f t="shared" ref="B38:B57" si="95">IF(H37&lt;0,B37,D37)</f>
        <v>3</v>
      </c>
      <c r="C38" s="13">
        <f t="shared" ref="C38:C57" si="96">IF(H37&lt;0,D37,C37)</f>
        <v>4</v>
      </c>
      <c r="D38" s="13">
        <f t="shared" si="90"/>
        <v>3.5</v>
      </c>
      <c r="E38" s="13">
        <f t="shared" ref="E38:G38" si="91">B38^3-EXP(0.8*B38)-20</f>
        <v>-4.023176381</v>
      </c>
      <c r="F38" s="13">
        <f t="shared" si="91"/>
        <v>19.4674698</v>
      </c>
      <c r="G38" s="13">
        <f t="shared" si="91"/>
        <v>6.430353229</v>
      </c>
      <c r="H38" s="13">
        <f t="shared" si="92"/>
        <v>-25.87044523</v>
      </c>
      <c r="I38" s="13">
        <f t="shared" ref="I38:I57" si="98">ABS(D38-D37)</f>
        <v>0.5</v>
      </c>
      <c r="J38" s="2"/>
      <c r="L38" s="22">
        <f t="shared" si="76"/>
        <v>11</v>
      </c>
      <c r="M38" s="22">
        <f t="shared" si="77"/>
        <v>-1.234130859</v>
      </c>
      <c r="N38" s="22">
        <f t="shared" si="78"/>
        <v>-1.233886719</v>
      </c>
      <c r="O38" s="22">
        <f t="shared" si="72"/>
        <v>-1.234008789</v>
      </c>
      <c r="P38" s="22">
        <f t="shared" ref="P38:R38" si="93">M38^3-M38^2*EXP(-0.5*M38)-3*M38+1</f>
        <v>-0.000283959477</v>
      </c>
      <c r="Q38" s="22">
        <f t="shared" si="93"/>
        <v>0.001560183799</v>
      </c>
      <c r="R38" s="22">
        <f t="shared" si="93"/>
        <v>0.0006382342799</v>
      </c>
      <c r="S38" s="22">
        <f t="shared" si="74"/>
        <v>-0.0000001812326723</v>
      </c>
      <c r="T38" s="22">
        <f t="shared" si="80"/>
        <v>0.0001220703125</v>
      </c>
      <c r="U38" s="19"/>
    </row>
    <row r="39">
      <c r="A39" s="13">
        <f t="shared" si="94"/>
        <v>2</v>
      </c>
      <c r="B39" s="13">
        <f t="shared" si="95"/>
        <v>3</v>
      </c>
      <c r="C39" s="13">
        <f t="shared" si="96"/>
        <v>3.5</v>
      </c>
      <c r="D39" s="13">
        <f t="shared" si="90"/>
        <v>3.25</v>
      </c>
      <c r="E39" s="13">
        <f t="shared" ref="E39:G39" si="97">B39^3-EXP(0.8*B39)-20</f>
        <v>-4.023176381</v>
      </c>
      <c r="F39" s="13">
        <f t="shared" si="97"/>
        <v>6.430353229</v>
      </c>
      <c r="G39" s="13">
        <f t="shared" si="97"/>
        <v>0.864386965</v>
      </c>
      <c r="H39" s="13">
        <f t="shared" si="92"/>
        <v>-3.477581221</v>
      </c>
      <c r="I39" s="13">
        <f t="shared" si="98"/>
        <v>0.25</v>
      </c>
      <c r="J39" s="2"/>
      <c r="L39" s="22">
        <f t="shared" si="76"/>
        <v>12</v>
      </c>
      <c r="M39" s="22">
        <f t="shared" si="77"/>
        <v>-1.234130859</v>
      </c>
      <c r="N39" s="22">
        <f t="shared" si="78"/>
        <v>-1.234008789</v>
      </c>
      <c r="O39" s="22">
        <f t="shared" si="72"/>
        <v>-1.234069824</v>
      </c>
      <c r="P39" s="22">
        <f t="shared" ref="P39:R39" si="99">M39^3-M39^2*EXP(-0.5*M39)-3*M39+1</f>
        <v>-0.000283959477</v>
      </c>
      <c r="Q39" s="22">
        <f t="shared" si="99"/>
        <v>0.0006382342799</v>
      </c>
      <c r="R39" s="22">
        <f t="shared" si="99"/>
        <v>0.0001771679329</v>
      </c>
      <c r="S39" s="22">
        <f t="shared" si="74"/>
        <v>-0.00000005030851356</v>
      </c>
      <c r="T39" s="22">
        <f t="shared" si="80"/>
        <v>0.00006103515625</v>
      </c>
      <c r="U39" s="19"/>
    </row>
    <row r="40">
      <c r="A40" s="13">
        <f t="shared" si="94"/>
        <v>3</v>
      </c>
      <c r="B40" s="13">
        <f t="shared" si="95"/>
        <v>3</v>
      </c>
      <c r="C40" s="13">
        <f t="shared" si="96"/>
        <v>3.25</v>
      </c>
      <c r="D40" s="13">
        <f t="shared" si="90"/>
        <v>3.125</v>
      </c>
      <c r="E40" s="13">
        <f t="shared" ref="E40:G40" si="100">B40^3-EXP(0.8*B40)-20</f>
        <v>-4.023176381</v>
      </c>
      <c r="F40" s="13">
        <f t="shared" si="100"/>
        <v>0.864386965</v>
      </c>
      <c r="G40" s="13">
        <f t="shared" si="100"/>
        <v>-1.664915836</v>
      </c>
      <c r="H40" s="13">
        <f t="shared" si="92"/>
        <v>6.698250066</v>
      </c>
      <c r="I40" s="13">
        <f t="shared" si="98"/>
        <v>0.125</v>
      </c>
      <c r="J40" s="2"/>
      <c r="L40" s="22">
        <f t="shared" si="76"/>
        <v>13</v>
      </c>
      <c r="M40" s="22">
        <f t="shared" si="77"/>
        <v>-1.234130859</v>
      </c>
      <c r="N40" s="22">
        <f t="shared" si="78"/>
        <v>-1.234069824</v>
      </c>
      <c r="O40" s="22">
        <f t="shared" si="72"/>
        <v>-1.234100342</v>
      </c>
      <c r="P40" s="22">
        <f t="shared" ref="P40:R40" si="101">M40^3-M40^2*EXP(-0.5*M40)-3*M40+1</f>
        <v>-0.000283959477</v>
      </c>
      <c r="Q40" s="22">
        <f t="shared" si="101"/>
        <v>0.0001771679329</v>
      </c>
      <c r="R40" s="22">
        <f t="shared" si="101"/>
        <v>-0.000053388139</v>
      </c>
      <c r="S40" s="22">
        <f t="shared" si="74"/>
        <v>0.00000001516006803</v>
      </c>
      <c r="T40" s="22">
        <f t="shared" si="80"/>
        <v>0.00003051757813</v>
      </c>
      <c r="U40" s="19"/>
    </row>
    <row r="41">
      <c r="A41" s="13">
        <f t="shared" si="94"/>
        <v>4</v>
      </c>
      <c r="B41" s="13">
        <f t="shared" si="95"/>
        <v>3.125</v>
      </c>
      <c r="C41" s="13">
        <f t="shared" si="96"/>
        <v>3.25</v>
      </c>
      <c r="D41" s="13">
        <f t="shared" si="90"/>
        <v>3.1875</v>
      </c>
      <c r="E41" s="13">
        <f t="shared" ref="E41:G41" si="102">B41^3-EXP(0.8*B41)-20</f>
        <v>-1.664915836</v>
      </c>
      <c r="F41" s="13">
        <f t="shared" si="102"/>
        <v>0.864386965</v>
      </c>
      <c r="G41" s="13">
        <f t="shared" si="102"/>
        <v>-0.4216057358</v>
      </c>
      <c r="H41" s="13">
        <f t="shared" si="92"/>
        <v>0.7019380659</v>
      </c>
      <c r="I41" s="13">
        <f t="shared" si="98"/>
        <v>0.0625</v>
      </c>
      <c r="J41" s="2"/>
      <c r="L41" s="22">
        <f t="shared" si="76"/>
        <v>14</v>
      </c>
      <c r="M41" s="22">
        <f t="shared" si="77"/>
        <v>-1.234100342</v>
      </c>
      <c r="N41" s="22">
        <f t="shared" si="78"/>
        <v>-1.234069824</v>
      </c>
      <c r="O41" s="22">
        <f t="shared" si="72"/>
        <v>-1.234085083</v>
      </c>
      <c r="P41" s="22">
        <f t="shared" ref="P41:R41" si="103">M41^3-M41^2*EXP(-0.5*M41)-3*M41+1</f>
        <v>-0.000053388139</v>
      </c>
      <c r="Q41" s="22">
        <f t="shared" si="103"/>
        <v>0.0001771679329</v>
      </c>
      <c r="R41" s="22">
        <f t="shared" si="103"/>
        <v>0.00006189180517</v>
      </c>
      <c r="S41" s="22">
        <f t="shared" si="74"/>
        <v>-0.000000003304288298</v>
      </c>
      <c r="T41" s="22">
        <f t="shared" si="80"/>
        <v>0.00001525878906</v>
      </c>
      <c r="U41" s="19"/>
    </row>
    <row r="42">
      <c r="A42" s="13">
        <f t="shared" si="94"/>
        <v>5</v>
      </c>
      <c r="B42" s="13">
        <f t="shared" si="95"/>
        <v>3.1875</v>
      </c>
      <c r="C42" s="13">
        <f t="shared" si="96"/>
        <v>3.25</v>
      </c>
      <c r="D42" s="13">
        <f t="shared" si="90"/>
        <v>3.21875</v>
      </c>
      <c r="E42" s="13">
        <f t="shared" ref="E42:G42" si="104">B42^3-EXP(0.8*B42)-20</f>
        <v>-0.4216057358</v>
      </c>
      <c r="F42" s="13">
        <f t="shared" si="104"/>
        <v>0.864386965</v>
      </c>
      <c r="G42" s="13">
        <f t="shared" si="104"/>
        <v>0.2160644333</v>
      </c>
      <c r="H42" s="13">
        <f t="shared" si="92"/>
        <v>-0.09109400438</v>
      </c>
      <c r="I42" s="13">
        <f t="shared" si="98"/>
        <v>0.03125</v>
      </c>
      <c r="J42" s="2"/>
      <c r="L42" s="22">
        <f t="shared" si="76"/>
        <v>15</v>
      </c>
      <c r="M42" s="22">
        <f t="shared" si="77"/>
        <v>-1.234100342</v>
      </c>
      <c r="N42" s="22">
        <f t="shared" si="78"/>
        <v>-1.234085083</v>
      </c>
      <c r="O42" s="22">
        <f t="shared" si="72"/>
        <v>-1.234092712</v>
      </c>
      <c r="P42" s="22">
        <f t="shared" ref="P42:R42" si="105">M42^3-M42^2*EXP(-0.5*M42)-3*M42+1</f>
        <v>-0.000053388139</v>
      </c>
      <c r="Q42" s="22">
        <f t="shared" si="105"/>
        <v>0.00006189180517</v>
      </c>
      <c r="R42" s="22">
        <f t="shared" si="105"/>
        <v>0.00000425231015</v>
      </c>
      <c r="S42" s="22">
        <f t="shared" si="74"/>
        <v>-0.0000000002270229254</v>
      </c>
      <c r="T42" s="22">
        <f t="shared" si="80"/>
        <v>0.000007629394531</v>
      </c>
      <c r="U42" s="19"/>
    </row>
    <row r="43">
      <c r="A43" s="13">
        <f t="shared" si="94"/>
        <v>6</v>
      </c>
      <c r="B43" s="13">
        <f t="shared" si="95"/>
        <v>3.1875</v>
      </c>
      <c r="C43" s="13">
        <f t="shared" si="96"/>
        <v>3.21875</v>
      </c>
      <c r="D43" s="13">
        <f t="shared" si="90"/>
        <v>3.203125</v>
      </c>
      <c r="E43" s="13">
        <f t="shared" ref="E43:G43" si="106">B43^3-EXP(0.8*B43)-20</f>
        <v>-0.4216057358</v>
      </c>
      <c r="F43" s="13">
        <f t="shared" si="106"/>
        <v>0.2160644333</v>
      </c>
      <c r="G43" s="13">
        <f t="shared" si="106"/>
        <v>-0.1041035365</v>
      </c>
      <c r="H43" s="13">
        <f t="shared" si="92"/>
        <v>0.04389064808</v>
      </c>
      <c r="I43" s="13">
        <f t="shared" si="98"/>
        <v>0.015625</v>
      </c>
      <c r="J43" s="2"/>
      <c r="L43" s="22">
        <f t="shared" si="76"/>
        <v>16</v>
      </c>
      <c r="M43" s="22">
        <f t="shared" si="77"/>
        <v>-1.234100342</v>
      </c>
      <c r="N43" s="22">
        <f t="shared" si="78"/>
        <v>-1.234092712</v>
      </c>
      <c r="O43" s="22">
        <f t="shared" si="72"/>
        <v>-1.234096527</v>
      </c>
      <c r="P43" s="22">
        <f t="shared" ref="P43:R43" si="107">M43^3-M43^2*EXP(-0.5*M43)-3*M43+1</f>
        <v>-0.000053388139</v>
      </c>
      <c r="Q43" s="22">
        <f t="shared" si="107"/>
        <v>0.00000425231015</v>
      </c>
      <c r="R43" s="22">
        <f t="shared" si="107"/>
        <v>-0.00002456779516</v>
      </c>
      <c r="S43" s="22">
        <f t="shared" si="74"/>
        <v>0.000000001311628863</v>
      </c>
      <c r="T43" s="22">
        <f t="shared" si="80"/>
        <v>0.000003814697266</v>
      </c>
      <c r="U43" s="19"/>
    </row>
    <row r="44">
      <c r="A44" s="13">
        <f t="shared" si="94"/>
        <v>7</v>
      </c>
      <c r="B44" s="13">
        <f t="shared" si="95"/>
        <v>3.203125</v>
      </c>
      <c r="C44" s="13">
        <f t="shared" si="96"/>
        <v>3.21875</v>
      </c>
      <c r="D44" s="13">
        <f t="shared" si="90"/>
        <v>3.2109375</v>
      </c>
      <c r="E44" s="13">
        <f t="shared" ref="E44:G44" si="108">B44^3-EXP(0.8*B44)-20</f>
        <v>-0.1041035365</v>
      </c>
      <c r="F44" s="13">
        <f t="shared" si="108"/>
        <v>0.2160644333</v>
      </c>
      <c r="G44" s="13">
        <f t="shared" si="108"/>
        <v>0.05564738213</v>
      </c>
      <c r="H44" s="13">
        <f t="shared" si="92"/>
        <v>-0.005793089274</v>
      </c>
      <c r="I44" s="13">
        <f t="shared" si="98"/>
        <v>0.0078125</v>
      </c>
      <c r="J44" s="2"/>
      <c r="L44" s="22">
        <f t="shared" si="76"/>
        <v>17</v>
      </c>
      <c r="M44" s="22">
        <f t="shared" si="77"/>
        <v>-1.234096527</v>
      </c>
      <c r="N44" s="22">
        <f t="shared" si="78"/>
        <v>-1.234092712</v>
      </c>
      <c r="O44" s="22">
        <f t="shared" si="72"/>
        <v>-1.23409462</v>
      </c>
      <c r="P44" s="22">
        <f t="shared" ref="P44:R44" si="109">M44^3-M44^2*EXP(-0.5*M44)-3*M44+1</f>
        <v>-0.00002456779516</v>
      </c>
      <c r="Q44" s="22">
        <f t="shared" si="109"/>
        <v>0.00000425231015</v>
      </c>
      <c r="R44" s="22">
        <f t="shared" si="109"/>
        <v>-0.00001015771269</v>
      </c>
      <c r="S44" s="22">
        <f t="shared" si="74"/>
        <v>0.0000000002495526046</v>
      </c>
      <c r="T44" s="22">
        <f t="shared" si="80"/>
        <v>0.000001907348633</v>
      </c>
      <c r="U44" s="19"/>
    </row>
    <row r="45">
      <c r="A45" s="13">
        <f t="shared" si="94"/>
        <v>8</v>
      </c>
      <c r="B45" s="13">
        <f t="shared" si="95"/>
        <v>3.203125</v>
      </c>
      <c r="C45" s="13">
        <f t="shared" si="96"/>
        <v>3.2109375</v>
      </c>
      <c r="D45" s="13">
        <f t="shared" si="90"/>
        <v>3.20703125</v>
      </c>
      <c r="E45" s="13">
        <f t="shared" ref="E45:G45" si="110">B45^3-EXP(0.8*B45)-20</f>
        <v>-0.1041035365</v>
      </c>
      <c r="F45" s="13">
        <f t="shared" si="110"/>
        <v>0.05564738213</v>
      </c>
      <c r="G45" s="13">
        <f t="shared" si="110"/>
        <v>-0.02431136388</v>
      </c>
      <c r="H45" s="13">
        <f t="shared" si="92"/>
        <v>0.002530898956</v>
      </c>
      <c r="I45" s="13">
        <f t="shared" si="98"/>
        <v>0.00390625</v>
      </c>
      <c r="J45" s="2"/>
      <c r="L45" s="22">
        <f t="shared" si="76"/>
        <v>18</v>
      </c>
      <c r="M45" s="17">
        <f t="shared" si="77"/>
        <v>-1.23409462</v>
      </c>
      <c r="N45" s="17">
        <f t="shared" si="78"/>
        <v>-1.234092712</v>
      </c>
      <c r="O45" s="17">
        <f t="shared" si="72"/>
        <v>-1.234093666</v>
      </c>
      <c r="P45" s="22">
        <f t="shared" ref="P45:R45" si="111">M45^3-M45^2*EXP(-0.5*M45)-3*M45+1</f>
        <v>-0.00001015771269</v>
      </c>
      <c r="Q45" s="22">
        <f t="shared" si="111"/>
        <v>0.00000425231015</v>
      </c>
      <c r="R45" s="22">
        <f t="shared" si="111"/>
        <v>-0.000002952693814</v>
      </c>
      <c r="S45" s="22">
        <f t="shared" si="74"/>
        <v>0</v>
      </c>
      <c r="T45" s="22">
        <f t="shared" si="80"/>
        <v>0.0000009536743164</v>
      </c>
      <c r="U45" s="19"/>
    </row>
    <row r="46">
      <c r="A46" s="13">
        <f t="shared" si="94"/>
        <v>9</v>
      </c>
      <c r="B46" s="13">
        <f t="shared" si="95"/>
        <v>3.20703125</v>
      </c>
      <c r="C46" s="13">
        <f t="shared" si="96"/>
        <v>3.2109375</v>
      </c>
      <c r="D46" s="13">
        <f t="shared" si="90"/>
        <v>3.208984375</v>
      </c>
      <c r="E46" s="13">
        <f t="shared" ref="E46:G46" si="112">B46^3-EXP(0.8*B46)-20</f>
        <v>-0.02431136388</v>
      </c>
      <c r="F46" s="13">
        <f t="shared" si="112"/>
        <v>0.05564738213</v>
      </c>
      <c r="G46" s="13">
        <f t="shared" si="112"/>
        <v>0.01564718992</v>
      </c>
      <c r="H46" s="13">
        <f t="shared" si="92"/>
        <v>-0.0003804045278</v>
      </c>
      <c r="I46" s="13">
        <f t="shared" si="98"/>
        <v>0.001953125</v>
      </c>
      <c r="J46" s="2"/>
      <c r="L46" s="19"/>
      <c r="M46" s="19"/>
      <c r="N46" s="19"/>
      <c r="O46" s="19"/>
      <c r="P46" s="19"/>
      <c r="Q46" s="19"/>
      <c r="R46" s="19"/>
      <c r="S46" s="19"/>
      <c r="T46" s="19"/>
      <c r="U46" s="19"/>
    </row>
    <row r="47">
      <c r="A47" s="13">
        <f t="shared" si="94"/>
        <v>10</v>
      </c>
      <c r="B47" s="13">
        <f t="shared" si="95"/>
        <v>3.20703125</v>
      </c>
      <c r="C47" s="13">
        <f t="shared" si="96"/>
        <v>3.208984375</v>
      </c>
      <c r="D47" s="13">
        <f t="shared" si="90"/>
        <v>3.208007813</v>
      </c>
      <c r="E47" s="13">
        <f t="shared" ref="E47:G47" si="113">B47^3-EXP(0.8*B47)-20</f>
        <v>-0.02431136388</v>
      </c>
      <c r="F47" s="13">
        <f t="shared" si="113"/>
        <v>0.01564718992</v>
      </c>
      <c r="G47" s="13">
        <f t="shared" si="113"/>
        <v>-0.004337292098</v>
      </c>
      <c r="H47" s="13">
        <f t="shared" si="92"/>
        <v>0.0001054454865</v>
      </c>
      <c r="I47" s="13">
        <f t="shared" si="98"/>
        <v>0.0009765625</v>
      </c>
      <c r="J47" s="2"/>
      <c r="L47" s="18" t="s">
        <v>15</v>
      </c>
      <c r="M47" s="19"/>
      <c r="N47" s="19"/>
      <c r="O47" s="19"/>
      <c r="P47" s="19"/>
      <c r="Q47" s="19"/>
      <c r="R47" s="19"/>
      <c r="S47" s="19"/>
      <c r="T47" s="19"/>
      <c r="U47" s="19"/>
    </row>
    <row r="48">
      <c r="A48" s="13">
        <f t="shared" si="94"/>
        <v>11</v>
      </c>
      <c r="B48" s="13">
        <f t="shared" si="95"/>
        <v>3.208007813</v>
      </c>
      <c r="C48" s="13">
        <f t="shared" si="96"/>
        <v>3.208984375</v>
      </c>
      <c r="D48" s="13">
        <f t="shared" si="90"/>
        <v>3.208496094</v>
      </c>
      <c r="E48" s="13">
        <f t="shared" ref="E48:G48" si="114">B48^3-EXP(0.8*B48)-20</f>
        <v>-0.004337292098</v>
      </c>
      <c r="F48" s="13">
        <f t="shared" si="114"/>
        <v>0.01564718992</v>
      </c>
      <c r="G48" s="13">
        <f t="shared" si="114"/>
        <v>0.005653647669</v>
      </c>
      <c r="H48" s="13">
        <f t="shared" si="92"/>
        <v>-0.00002452152136</v>
      </c>
      <c r="I48" s="13">
        <f t="shared" si="98"/>
        <v>0.00048828125</v>
      </c>
      <c r="J48" s="2"/>
      <c r="L48" s="20" t="s">
        <v>3</v>
      </c>
      <c r="M48" s="20">
        <v>0.0</v>
      </c>
      <c r="N48" s="19"/>
      <c r="O48" s="19"/>
      <c r="P48" s="19"/>
      <c r="Q48" s="19"/>
      <c r="R48" s="19"/>
      <c r="S48" s="19"/>
      <c r="T48" s="19"/>
      <c r="U48" s="19"/>
    </row>
    <row r="49">
      <c r="A49" s="13">
        <f t="shared" si="94"/>
        <v>12</v>
      </c>
      <c r="B49" s="13">
        <f t="shared" si="95"/>
        <v>3.208007813</v>
      </c>
      <c r="C49" s="13">
        <f t="shared" si="96"/>
        <v>3.208496094</v>
      </c>
      <c r="D49" s="13">
        <f t="shared" si="90"/>
        <v>3.208251953</v>
      </c>
      <c r="E49" s="13">
        <f t="shared" ref="E49:G49" si="115">B49^3-EXP(0.8*B49)-20</f>
        <v>-0.004337292098</v>
      </c>
      <c r="F49" s="13">
        <f t="shared" si="115"/>
        <v>0.005653647669</v>
      </c>
      <c r="G49" s="13">
        <f t="shared" si="115"/>
        <v>0.0006578524704</v>
      </c>
      <c r="H49" s="13">
        <f t="shared" si="92"/>
        <v>-0.000002853298322</v>
      </c>
      <c r="I49" s="13">
        <f t="shared" si="98"/>
        <v>0.000244140625</v>
      </c>
      <c r="J49" s="2"/>
      <c r="L49" s="20" t="s">
        <v>4</v>
      </c>
      <c r="M49" s="20">
        <v>0.5</v>
      </c>
      <c r="N49" s="19"/>
      <c r="O49" s="19"/>
      <c r="P49" s="19"/>
      <c r="Q49" s="19"/>
      <c r="R49" s="19"/>
      <c r="S49" s="19"/>
      <c r="T49" s="19"/>
      <c r="U49" s="19"/>
    </row>
    <row r="50">
      <c r="A50" s="13">
        <f t="shared" si="94"/>
        <v>13</v>
      </c>
      <c r="B50" s="13">
        <f t="shared" si="95"/>
        <v>3.208007813</v>
      </c>
      <c r="C50" s="13">
        <f t="shared" si="96"/>
        <v>3.208251953</v>
      </c>
      <c r="D50" s="13">
        <f t="shared" si="90"/>
        <v>3.208129883</v>
      </c>
      <c r="E50" s="13">
        <f t="shared" ref="E50:G50" si="116">B50^3-EXP(0.8*B50)-20</f>
        <v>-0.004337292098</v>
      </c>
      <c r="F50" s="13">
        <f t="shared" si="116"/>
        <v>0.0006578524704</v>
      </c>
      <c r="G50" s="13">
        <f t="shared" si="116"/>
        <v>-0.001839801143</v>
      </c>
      <c r="H50" s="13">
        <f t="shared" si="92"/>
        <v>0.000007979754961</v>
      </c>
      <c r="I50" s="13">
        <f t="shared" si="98"/>
        <v>0.0001220703125</v>
      </c>
      <c r="J50" s="2"/>
      <c r="L50" s="20" t="s">
        <v>5</v>
      </c>
      <c r="M50" s="20">
        <v>1.0E-6</v>
      </c>
      <c r="N50" s="19"/>
      <c r="O50" s="19"/>
      <c r="P50" s="19"/>
      <c r="Q50" s="19"/>
      <c r="R50" s="19"/>
      <c r="S50" s="19"/>
      <c r="T50" s="19"/>
      <c r="U50" s="19"/>
    </row>
    <row r="51">
      <c r="A51" s="13">
        <f t="shared" si="94"/>
        <v>14</v>
      </c>
      <c r="B51" s="13">
        <f t="shared" si="95"/>
        <v>3.208129883</v>
      </c>
      <c r="C51" s="13">
        <f t="shared" si="96"/>
        <v>3.208251953</v>
      </c>
      <c r="D51" s="13">
        <f t="shared" si="90"/>
        <v>3.208190918</v>
      </c>
      <c r="E51" s="13">
        <f t="shared" ref="E51:G51" si="117">B51^3-EXP(0.8*B51)-20</f>
        <v>-0.001839801143</v>
      </c>
      <c r="F51" s="13">
        <f t="shared" si="117"/>
        <v>0.0006578524704</v>
      </c>
      <c r="G51" s="13">
        <f t="shared" si="117"/>
        <v>-0.0005909946687</v>
      </c>
      <c r="H51" s="13">
        <f t="shared" si="92"/>
        <v>0.000001087312667</v>
      </c>
      <c r="I51" s="13">
        <f t="shared" si="98"/>
        <v>0.00006103515625</v>
      </c>
      <c r="J51" s="2"/>
      <c r="L51" s="19"/>
      <c r="M51" s="19"/>
      <c r="N51" s="19"/>
      <c r="O51" s="19"/>
      <c r="P51" s="19"/>
      <c r="Q51" s="19"/>
      <c r="R51" s="19"/>
      <c r="S51" s="19"/>
      <c r="T51" s="19"/>
      <c r="U51" s="19"/>
    </row>
    <row r="52">
      <c r="A52" s="13">
        <f t="shared" si="94"/>
        <v>15</v>
      </c>
      <c r="B52" s="13">
        <f t="shared" si="95"/>
        <v>3.208190918</v>
      </c>
      <c r="C52" s="13">
        <f t="shared" si="96"/>
        <v>3.208251953</v>
      </c>
      <c r="D52" s="13">
        <f t="shared" si="90"/>
        <v>3.208221436</v>
      </c>
      <c r="E52" s="13">
        <f t="shared" ref="E52:G52" si="118">B52^3-EXP(0.8*B52)-20</f>
        <v>-0.0005909946687</v>
      </c>
      <c r="F52" s="13">
        <f t="shared" si="118"/>
        <v>0.0006578524704</v>
      </c>
      <c r="G52" s="13">
        <f t="shared" si="118"/>
        <v>0.00003342381781</v>
      </c>
      <c r="H52" s="13">
        <f t="shared" si="92"/>
        <v>-0.00000001975329813</v>
      </c>
      <c r="I52" s="13">
        <f t="shared" si="98"/>
        <v>0.00003051757813</v>
      </c>
      <c r="J52" s="2"/>
      <c r="L52" s="21" t="s">
        <v>6</v>
      </c>
      <c r="M52" s="21" t="s">
        <v>7</v>
      </c>
      <c r="N52" s="21" t="s">
        <v>8</v>
      </c>
      <c r="O52" s="21" t="s">
        <v>9</v>
      </c>
      <c r="P52" s="21" t="s">
        <v>10</v>
      </c>
      <c r="Q52" s="21" t="s">
        <v>11</v>
      </c>
      <c r="R52" s="21" t="s">
        <v>12</v>
      </c>
      <c r="S52" s="21" t="s">
        <v>13</v>
      </c>
      <c r="T52" s="21" t="s">
        <v>14</v>
      </c>
      <c r="U52" s="19"/>
    </row>
    <row r="53">
      <c r="A53" s="13">
        <f t="shared" si="94"/>
        <v>16</v>
      </c>
      <c r="B53" s="13">
        <f t="shared" si="95"/>
        <v>3.208190918</v>
      </c>
      <c r="C53" s="13">
        <f t="shared" si="96"/>
        <v>3.208221436</v>
      </c>
      <c r="D53" s="13">
        <f t="shared" si="90"/>
        <v>3.208206177</v>
      </c>
      <c r="E53" s="13">
        <f t="shared" ref="E53:G53" si="119">B53^3-EXP(0.8*B53)-20</f>
        <v>-0.0005909946687</v>
      </c>
      <c r="F53" s="13">
        <f t="shared" si="119"/>
        <v>0.00003342381781</v>
      </c>
      <c r="G53" s="13">
        <f t="shared" si="119"/>
        <v>-0.0002787866962</v>
      </c>
      <c r="H53" s="13">
        <f t="shared" si="92"/>
        <v>0.0000001647614511</v>
      </c>
      <c r="I53" s="13">
        <f t="shared" si="98"/>
        <v>0.00001525878906</v>
      </c>
      <c r="J53" s="2"/>
      <c r="L53" s="21">
        <v>0.0</v>
      </c>
      <c r="M53" s="22">
        <f>$M$48</f>
        <v>0</v>
      </c>
      <c r="N53" s="22">
        <f>$M$49</f>
        <v>0.5</v>
      </c>
      <c r="O53" s="22">
        <f t="shared" ref="O53:O70" si="122">(M53+N53)/2</f>
        <v>0.25</v>
      </c>
      <c r="P53" s="22">
        <f t="shared" ref="P53:R53" si="120">M53^3-M53^2*EXP(-0.5*M53)-3*M53+1</f>
        <v>1</v>
      </c>
      <c r="Q53" s="22">
        <f t="shared" si="120"/>
        <v>-0.5697001958</v>
      </c>
      <c r="R53" s="22">
        <f t="shared" si="120"/>
        <v>0.2104689436</v>
      </c>
      <c r="S53" s="22">
        <f t="shared" ref="S53:S70" si="124">P53*R53</f>
        <v>0.2104689436</v>
      </c>
      <c r="T53" s="22"/>
      <c r="U53" s="19"/>
    </row>
    <row r="54">
      <c r="A54" s="13">
        <f t="shared" si="94"/>
        <v>17</v>
      </c>
      <c r="B54" s="13">
        <f t="shared" si="95"/>
        <v>3.208206177</v>
      </c>
      <c r="C54" s="13">
        <f t="shared" si="96"/>
        <v>3.208221436</v>
      </c>
      <c r="D54" s="13">
        <f t="shared" si="90"/>
        <v>3.208213806</v>
      </c>
      <c r="E54" s="13">
        <f t="shared" ref="E54:G54" si="121">B54^3-EXP(0.8*B54)-20</f>
        <v>-0.0002787866962</v>
      </c>
      <c r="F54" s="13">
        <f t="shared" si="121"/>
        <v>0.00003342381781</v>
      </c>
      <c r="G54" s="13">
        <f t="shared" si="121"/>
        <v>-0.0001226817569</v>
      </c>
      <c r="H54" s="13">
        <f t="shared" si="92"/>
        <v>0.00000003420204169</v>
      </c>
      <c r="I54" s="13">
        <f t="shared" si="98"/>
        <v>0.000007629394531</v>
      </c>
      <c r="J54" s="2"/>
      <c r="L54" s="22">
        <f t="shared" ref="L54:L70" si="126">L53+1</f>
        <v>1</v>
      </c>
      <c r="M54" s="22">
        <f t="shared" ref="M54:M70" si="127">IF(S53&lt;0,M53,O53)</f>
        <v>0.25</v>
      </c>
      <c r="N54" s="22">
        <f t="shared" ref="N54:N70" si="128">IF(S53&lt;0,O53,N53)</f>
        <v>0.5</v>
      </c>
      <c r="O54" s="22">
        <f t="shared" si="122"/>
        <v>0.375</v>
      </c>
      <c r="P54" s="22">
        <f t="shared" ref="P54:R54" si="123">M54^3-M54^2*EXP(-0.5*M54)-3*M54+1</f>
        <v>0.2104689436</v>
      </c>
      <c r="Q54" s="22">
        <f t="shared" si="123"/>
        <v>-0.5697001958</v>
      </c>
      <c r="R54" s="22">
        <f t="shared" si="123"/>
        <v>-0.1888478447</v>
      </c>
      <c r="S54" s="22">
        <f t="shared" si="124"/>
        <v>-0.03974660638</v>
      </c>
      <c r="T54" s="22">
        <f t="shared" ref="T54:T70" si="130">ABS(O54-O53)</f>
        <v>0.125</v>
      </c>
      <c r="U54" s="19"/>
    </row>
    <row r="55">
      <c r="A55" s="13">
        <f t="shared" si="94"/>
        <v>18</v>
      </c>
      <c r="B55" s="13">
        <f t="shared" si="95"/>
        <v>3.208213806</v>
      </c>
      <c r="C55" s="13">
        <f t="shared" si="96"/>
        <v>3.208221436</v>
      </c>
      <c r="D55" s="13">
        <f t="shared" si="90"/>
        <v>3.208217621</v>
      </c>
      <c r="E55" s="13">
        <f t="shared" ref="E55:G55" si="125">B55^3-EXP(0.8*B55)-20</f>
        <v>-0.0001226817569</v>
      </c>
      <c r="F55" s="13">
        <f t="shared" si="125"/>
        <v>0.00003342381781</v>
      </c>
      <c r="G55" s="13">
        <f t="shared" si="125"/>
        <v>-0.00004462904896</v>
      </c>
      <c r="H55" s="13">
        <f t="shared" si="92"/>
        <v>0.000000005475170134</v>
      </c>
      <c r="I55" s="13">
        <f t="shared" si="98"/>
        <v>0.000003814697266</v>
      </c>
      <c r="J55" s="2"/>
      <c r="L55" s="22">
        <f t="shared" si="126"/>
        <v>2</v>
      </c>
      <c r="M55" s="22">
        <f t="shared" si="127"/>
        <v>0.25</v>
      </c>
      <c r="N55" s="22">
        <f t="shared" si="128"/>
        <v>0.375</v>
      </c>
      <c r="O55" s="22">
        <f t="shared" si="122"/>
        <v>0.3125</v>
      </c>
      <c r="P55" s="22">
        <f t="shared" ref="P55:R55" si="129">M55^3-M55^2*EXP(-0.5*M55)-3*M55+1</f>
        <v>0.2104689436</v>
      </c>
      <c r="Q55" s="22">
        <f t="shared" si="129"/>
        <v>-0.1888478447</v>
      </c>
      <c r="R55" s="22">
        <f t="shared" si="129"/>
        <v>0.009487761005</v>
      </c>
      <c r="S55" s="22">
        <f t="shared" si="124"/>
        <v>0.001996879036</v>
      </c>
      <c r="T55" s="22">
        <f t="shared" si="130"/>
        <v>0.0625</v>
      </c>
      <c r="U55" s="19"/>
    </row>
    <row r="56">
      <c r="A56" s="13">
        <f t="shared" si="94"/>
        <v>19</v>
      </c>
      <c r="B56" s="13">
        <f t="shared" si="95"/>
        <v>3.208217621</v>
      </c>
      <c r="C56" s="13">
        <f t="shared" si="96"/>
        <v>3.208221436</v>
      </c>
      <c r="D56" s="13">
        <f t="shared" si="90"/>
        <v>3.208219528</v>
      </c>
      <c r="E56" s="13">
        <f t="shared" ref="E56:G56" si="131">B56^3-EXP(0.8*B56)-20</f>
        <v>-0.00004462904896</v>
      </c>
      <c r="F56" s="13">
        <f t="shared" si="131"/>
        <v>0.00003342381781</v>
      </c>
      <c r="G56" s="13">
        <f t="shared" si="131"/>
        <v>-0.000005602635429</v>
      </c>
      <c r="H56" s="13">
        <f t="shared" si="92"/>
        <v>0.0000000002500402909</v>
      </c>
      <c r="I56" s="13">
        <f t="shared" si="98"/>
        <v>0.000001907348633</v>
      </c>
      <c r="J56" s="2"/>
      <c r="L56" s="22">
        <f t="shared" si="126"/>
        <v>3</v>
      </c>
      <c r="M56" s="22">
        <f t="shared" si="127"/>
        <v>0.3125</v>
      </c>
      <c r="N56" s="22">
        <f t="shared" si="128"/>
        <v>0.375</v>
      </c>
      <c r="O56" s="22">
        <f t="shared" si="122"/>
        <v>0.34375</v>
      </c>
      <c r="P56" s="22">
        <f t="shared" ref="P56:R56" si="132">M56^3-M56^2*EXP(-0.5*M56)-3*M56+1</f>
        <v>0.009487761005</v>
      </c>
      <c r="Q56" s="22">
        <f t="shared" si="132"/>
        <v>-0.1888478447</v>
      </c>
      <c r="R56" s="22">
        <f t="shared" si="132"/>
        <v>-0.09013522039</v>
      </c>
      <c r="S56" s="22">
        <f t="shared" si="124"/>
        <v>-0.0008551814293</v>
      </c>
      <c r="T56" s="22">
        <f t="shared" si="130"/>
        <v>0.03125</v>
      </c>
      <c r="U56" s="19"/>
    </row>
    <row r="57">
      <c r="A57" s="13">
        <f t="shared" si="94"/>
        <v>20</v>
      </c>
      <c r="B57" s="17">
        <f t="shared" si="95"/>
        <v>3.208219528</v>
      </c>
      <c r="C57" s="17">
        <f t="shared" si="96"/>
        <v>3.208221436</v>
      </c>
      <c r="D57" s="17">
        <f t="shared" si="90"/>
        <v>3.208220482</v>
      </c>
      <c r="E57" s="13">
        <f t="shared" ref="E57:G57" si="133">B57^3-EXP(0.8*B57)-20</f>
        <v>-0.000005602635429</v>
      </c>
      <c r="F57" s="13">
        <f t="shared" si="133"/>
        <v>0.00003342381781</v>
      </c>
      <c r="G57" s="13">
        <f t="shared" si="133"/>
        <v>0.00001391058623</v>
      </c>
      <c r="H57" s="13">
        <f t="shared" si="92"/>
        <v>0</v>
      </c>
      <c r="I57" s="13">
        <f t="shared" si="98"/>
        <v>0.0000009536743164</v>
      </c>
      <c r="J57" s="2"/>
      <c r="L57" s="22">
        <f t="shared" si="126"/>
        <v>4</v>
      </c>
      <c r="M57" s="22">
        <f t="shared" si="127"/>
        <v>0.3125</v>
      </c>
      <c r="N57" s="22">
        <f t="shared" si="128"/>
        <v>0.34375</v>
      </c>
      <c r="O57" s="22">
        <f t="shared" si="122"/>
        <v>0.328125</v>
      </c>
      <c r="P57" s="22">
        <f t="shared" ref="P57:R57" si="134">M57^3-M57^2*EXP(-0.5*M57)-3*M57+1</f>
        <v>0.009487761005</v>
      </c>
      <c r="Q57" s="22">
        <f t="shared" si="134"/>
        <v>-0.09013522039</v>
      </c>
      <c r="R57" s="22">
        <f t="shared" si="134"/>
        <v>-0.0404220493</v>
      </c>
      <c r="S57" s="22">
        <f t="shared" si="124"/>
        <v>-0.0003835147431</v>
      </c>
      <c r="T57" s="22">
        <f t="shared" si="130"/>
        <v>0.015625</v>
      </c>
      <c r="U57" s="19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L58" s="22">
        <f t="shared" si="126"/>
        <v>5</v>
      </c>
      <c r="M58" s="22">
        <f t="shared" si="127"/>
        <v>0.3125</v>
      </c>
      <c r="N58" s="22">
        <f t="shared" si="128"/>
        <v>0.328125</v>
      </c>
      <c r="O58" s="22">
        <f t="shared" si="122"/>
        <v>0.3203125</v>
      </c>
      <c r="P58" s="22">
        <f t="shared" ref="P58:R58" si="135">M58^3-M58^2*EXP(-0.5*M58)-3*M58+1</f>
        <v>0.009487761005</v>
      </c>
      <c r="Q58" s="22">
        <f t="shared" si="135"/>
        <v>-0.0404220493</v>
      </c>
      <c r="R58" s="22">
        <f t="shared" si="135"/>
        <v>-0.01548978231</v>
      </c>
      <c r="S58" s="22">
        <f t="shared" si="124"/>
        <v>-0.0001469633526</v>
      </c>
      <c r="T58" s="22">
        <f t="shared" si="130"/>
        <v>0.0078125</v>
      </c>
      <c r="U58" s="19"/>
    </row>
    <row r="59">
      <c r="L59" s="22">
        <f t="shared" si="126"/>
        <v>6</v>
      </c>
      <c r="M59" s="22">
        <f t="shared" si="127"/>
        <v>0.3125</v>
      </c>
      <c r="N59" s="22">
        <f t="shared" si="128"/>
        <v>0.3203125</v>
      </c>
      <c r="O59" s="22">
        <f t="shared" si="122"/>
        <v>0.31640625</v>
      </c>
      <c r="P59" s="22">
        <f t="shared" ref="P59:R59" si="136">M59^3-M59^2*EXP(-0.5*M59)-3*M59+1</f>
        <v>0.009487761005</v>
      </c>
      <c r="Q59" s="22">
        <f t="shared" si="136"/>
        <v>-0.01548978231</v>
      </c>
      <c r="R59" s="22">
        <f t="shared" si="136"/>
        <v>-0.00300642701</v>
      </c>
      <c r="S59" s="22">
        <f t="shared" si="124"/>
        <v>-0.00002852426095</v>
      </c>
      <c r="T59" s="22">
        <f t="shared" si="130"/>
        <v>0.00390625</v>
      </c>
      <c r="U59" s="19"/>
    </row>
    <row r="60">
      <c r="B60" s="23" t="s">
        <v>16</v>
      </c>
      <c r="C60" s="24"/>
      <c r="L60" s="22">
        <f t="shared" si="126"/>
        <v>7</v>
      </c>
      <c r="M60" s="22">
        <f t="shared" si="127"/>
        <v>0.3125</v>
      </c>
      <c r="N60" s="22">
        <f t="shared" si="128"/>
        <v>0.31640625</v>
      </c>
      <c r="O60" s="22">
        <f t="shared" si="122"/>
        <v>0.314453125</v>
      </c>
      <c r="P60" s="22">
        <f t="shared" ref="P60:R60" si="137">M60^3-M60^2*EXP(-0.5*M60)-3*M60+1</f>
        <v>0.009487761005</v>
      </c>
      <c r="Q60" s="22">
        <f t="shared" si="137"/>
        <v>-0.00300642701</v>
      </c>
      <c r="R60" s="22">
        <f t="shared" si="137"/>
        <v>0.003239343335</v>
      </c>
      <c r="S60" s="22">
        <f t="shared" si="124"/>
        <v>0.00003073411537</v>
      </c>
      <c r="T60" s="22">
        <f t="shared" si="130"/>
        <v>0.001953125</v>
      </c>
      <c r="U60" s="19"/>
    </row>
    <row r="61">
      <c r="B61" s="23">
        <v>1.3759486E7</v>
      </c>
      <c r="C61" s="24"/>
      <c r="L61" s="22">
        <f t="shared" si="126"/>
        <v>8</v>
      </c>
      <c r="M61" s="22">
        <f t="shared" si="127"/>
        <v>0.314453125</v>
      </c>
      <c r="N61" s="22">
        <f t="shared" si="128"/>
        <v>0.31640625</v>
      </c>
      <c r="O61" s="22">
        <f t="shared" si="122"/>
        <v>0.3154296875</v>
      </c>
      <c r="P61" s="22">
        <f t="shared" ref="P61:R61" si="138">M61^3-M61^2*EXP(-0.5*M61)-3*M61+1</f>
        <v>0.003239343335</v>
      </c>
      <c r="Q61" s="22">
        <f t="shared" si="138"/>
        <v>-0.00300642701</v>
      </c>
      <c r="R61" s="22">
        <f t="shared" si="138"/>
        <v>0.000116123442</v>
      </c>
      <c r="S61" s="22">
        <f t="shared" si="124"/>
        <v>0.000000376163698</v>
      </c>
      <c r="T61" s="22">
        <f t="shared" si="130"/>
        <v>0.0009765625</v>
      </c>
      <c r="U61" s="19"/>
    </row>
    <row r="62">
      <c r="B62" s="23">
        <v>1825954.0</v>
      </c>
      <c r="C62" s="24"/>
      <c r="L62" s="22">
        <f t="shared" si="126"/>
        <v>9</v>
      </c>
      <c r="M62" s="22">
        <f t="shared" si="127"/>
        <v>0.3154296875</v>
      </c>
      <c r="N62" s="22">
        <f t="shared" si="128"/>
        <v>0.31640625</v>
      </c>
      <c r="O62" s="22">
        <f t="shared" si="122"/>
        <v>0.3159179688</v>
      </c>
      <c r="P62" s="22">
        <f t="shared" ref="P62:R62" si="139">M62^3-M62^2*EXP(-0.5*M62)-3*M62+1</f>
        <v>0.000116123442</v>
      </c>
      <c r="Q62" s="22">
        <f t="shared" si="139"/>
        <v>-0.00300642701</v>
      </c>
      <c r="R62" s="22">
        <f t="shared" si="139"/>
        <v>-0.00144523594</v>
      </c>
      <c r="S62" s="22">
        <f t="shared" si="124"/>
        <v>-0.0000001678257719</v>
      </c>
      <c r="T62" s="22">
        <f t="shared" si="130"/>
        <v>0.00048828125</v>
      </c>
      <c r="U62" s="19"/>
    </row>
    <row r="63">
      <c r="L63" s="22">
        <f t="shared" si="126"/>
        <v>10</v>
      </c>
      <c r="M63" s="22">
        <f t="shared" si="127"/>
        <v>0.3154296875</v>
      </c>
      <c r="N63" s="22">
        <f t="shared" si="128"/>
        <v>0.3159179688</v>
      </c>
      <c r="O63" s="22">
        <f t="shared" si="122"/>
        <v>0.3156738281</v>
      </c>
      <c r="P63" s="22">
        <f t="shared" ref="P63:R63" si="140">M63^3-M63^2*EXP(-0.5*M63)-3*M63+1</f>
        <v>0.000116123442</v>
      </c>
      <c r="Q63" s="22">
        <f t="shared" si="140"/>
        <v>-0.00144523594</v>
      </c>
      <c r="R63" s="22">
        <f t="shared" si="140"/>
        <v>-0.0006645772282</v>
      </c>
      <c r="S63" s="22">
        <f t="shared" si="124"/>
        <v>-0.00000007717299524</v>
      </c>
      <c r="T63" s="22">
        <f t="shared" si="130"/>
        <v>0.000244140625</v>
      </c>
      <c r="U63" s="19"/>
    </row>
    <row r="64">
      <c r="L64" s="22">
        <f t="shared" si="126"/>
        <v>11</v>
      </c>
      <c r="M64" s="22">
        <f t="shared" si="127"/>
        <v>0.3154296875</v>
      </c>
      <c r="N64" s="22">
        <f t="shared" si="128"/>
        <v>0.3156738281</v>
      </c>
      <c r="O64" s="22">
        <f t="shared" si="122"/>
        <v>0.3155517578</v>
      </c>
      <c r="P64" s="22">
        <f t="shared" ref="P64:R64" si="141">M64^3-M64^2*EXP(-0.5*M64)-3*M64+1</f>
        <v>0.000116123442</v>
      </c>
      <c r="Q64" s="22">
        <f t="shared" si="141"/>
        <v>-0.0006645772282</v>
      </c>
      <c r="R64" s="22">
        <f t="shared" si="141"/>
        <v>-0.0002742321305</v>
      </c>
      <c r="S64" s="22">
        <f t="shared" si="124"/>
        <v>-0.00000003184477892</v>
      </c>
      <c r="T64" s="22">
        <f t="shared" si="130"/>
        <v>0.0001220703125</v>
      </c>
      <c r="U64" s="19"/>
    </row>
    <row r="65">
      <c r="L65" s="22">
        <f t="shared" si="126"/>
        <v>12</v>
      </c>
      <c r="M65" s="22">
        <f t="shared" si="127"/>
        <v>0.3154296875</v>
      </c>
      <c r="N65" s="22">
        <f t="shared" si="128"/>
        <v>0.3155517578</v>
      </c>
      <c r="O65" s="22">
        <f t="shared" si="122"/>
        <v>0.3154907227</v>
      </c>
      <c r="P65" s="22">
        <f t="shared" ref="P65:R65" si="142">M65^3-M65^2*EXP(-0.5*M65)-3*M65+1</f>
        <v>0.000116123442</v>
      </c>
      <c r="Q65" s="22">
        <f t="shared" si="142"/>
        <v>-0.0002742321305</v>
      </c>
      <c r="R65" s="22">
        <f t="shared" si="142"/>
        <v>-0.00007905565268</v>
      </c>
      <c r="S65" s="22">
        <f t="shared" si="124"/>
        <v>-0.000000009180214502</v>
      </c>
      <c r="T65" s="22">
        <f t="shared" si="130"/>
        <v>0.00006103515625</v>
      </c>
      <c r="U65" s="19"/>
    </row>
    <row r="66">
      <c r="L66" s="22">
        <f t="shared" si="126"/>
        <v>13</v>
      </c>
      <c r="M66" s="22">
        <f t="shared" si="127"/>
        <v>0.3154296875</v>
      </c>
      <c r="N66" s="22">
        <f t="shared" si="128"/>
        <v>0.3154907227</v>
      </c>
      <c r="O66" s="22">
        <f t="shared" si="122"/>
        <v>0.3154602051</v>
      </c>
      <c r="P66" s="22">
        <f t="shared" ref="P66:R66" si="143">M66^3-M66^2*EXP(-0.5*M66)-3*M66+1</f>
        <v>0.000116123442</v>
      </c>
      <c r="Q66" s="22">
        <f t="shared" si="143"/>
        <v>-0.00007905565268</v>
      </c>
      <c r="R66" s="22">
        <f t="shared" si="143"/>
        <v>0.00001853356769</v>
      </c>
      <c r="S66" s="22">
        <f t="shared" si="124"/>
        <v>0.000000002152181673</v>
      </c>
      <c r="T66" s="22">
        <f t="shared" si="130"/>
        <v>0.00003051757813</v>
      </c>
      <c r="U66" s="19"/>
    </row>
    <row r="67">
      <c r="L67" s="22">
        <f t="shared" si="126"/>
        <v>14</v>
      </c>
      <c r="M67" s="22">
        <f t="shared" si="127"/>
        <v>0.3154602051</v>
      </c>
      <c r="N67" s="22">
        <f t="shared" si="128"/>
        <v>0.3154907227</v>
      </c>
      <c r="O67" s="22">
        <f t="shared" si="122"/>
        <v>0.3154754639</v>
      </c>
      <c r="P67" s="22">
        <f t="shared" ref="P67:R67" si="144">M67^3-M67^2*EXP(-0.5*M67)-3*M67+1</f>
        <v>0.00001853356769</v>
      </c>
      <c r="Q67" s="22">
        <f t="shared" si="144"/>
        <v>-0.00007905565268</v>
      </c>
      <c r="R67" s="22">
        <f t="shared" si="144"/>
        <v>-0.00003026112426</v>
      </c>
      <c r="S67" s="22">
        <f t="shared" si="124"/>
        <v>-0.0000000005608465947</v>
      </c>
      <c r="T67" s="22">
        <f t="shared" si="130"/>
        <v>0.00001525878906</v>
      </c>
      <c r="U67" s="19"/>
    </row>
    <row r="68">
      <c r="L68" s="22">
        <f t="shared" si="126"/>
        <v>15</v>
      </c>
      <c r="M68" s="22">
        <f t="shared" si="127"/>
        <v>0.3154602051</v>
      </c>
      <c r="N68" s="22">
        <f t="shared" si="128"/>
        <v>0.3154754639</v>
      </c>
      <c r="O68" s="22">
        <f t="shared" si="122"/>
        <v>0.3154678345</v>
      </c>
      <c r="P68" s="22">
        <f t="shared" ref="P68:R68" si="145">M68^3-M68^2*EXP(-0.5*M68)-3*M68+1</f>
        <v>0.00001853356769</v>
      </c>
      <c r="Q68" s="22">
        <f t="shared" si="145"/>
        <v>-0.00003026112426</v>
      </c>
      <c r="R68" s="22">
        <f t="shared" si="145"/>
        <v>-0.000005863798725</v>
      </c>
      <c r="S68" s="22">
        <f t="shared" si="124"/>
        <v>-0.0000000001086771106</v>
      </c>
      <c r="T68" s="22">
        <f t="shared" si="130"/>
        <v>0.000007629394531</v>
      </c>
      <c r="U68" s="19"/>
    </row>
    <row r="69">
      <c r="L69" s="22">
        <f t="shared" si="126"/>
        <v>16</v>
      </c>
      <c r="M69" s="22">
        <f t="shared" si="127"/>
        <v>0.3154602051</v>
      </c>
      <c r="N69" s="22">
        <f t="shared" si="128"/>
        <v>0.3154678345</v>
      </c>
      <c r="O69" s="22">
        <f t="shared" si="122"/>
        <v>0.3154640198</v>
      </c>
      <c r="P69" s="22">
        <f t="shared" ref="P69:R69" si="146">M69^3-M69^2*EXP(-0.5*M69)-3*M69+1</f>
        <v>0.00001853356769</v>
      </c>
      <c r="Q69" s="22">
        <f t="shared" si="146"/>
        <v>-0.000005863798725</v>
      </c>
      <c r="R69" s="22">
        <f t="shared" si="146"/>
        <v>0.000006334879371</v>
      </c>
      <c r="S69" s="22">
        <f t="shared" si="124"/>
        <v>0.0000000001174079156</v>
      </c>
      <c r="T69" s="22">
        <f t="shared" si="130"/>
        <v>0.000003814697266</v>
      </c>
      <c r="U69" s="19"/>
    </row>
    <row r="70">
      <c r="L70" s="22">
        <f t="shared" si="126"/>
        <v>17</v>
      </c>
      <c r="M70" s="17">
        <f t="shared" si="127"/>
        <v>0.3154640198</v>
      </c>
      <c r="N70" s="17">
        <f t="shared" si="128"/>
        <v>0.3154678345</v>
      </c>
      <c r="O70" s="17">
        <f t="shared" si="122"/>
        <v>0.3154659271</v>
      </c>
      <c r="P70" s="22">
        <f t="shared" ref="P70:R70" si="147">M70^3-M70^2*EXP(-0.5*M70)-3*M70+1</f>
        <v>0.000006334879371</v>
      </c>
      <c r="Q70" s="22">
        <f t="shared" si="147"/>
        <v>-0.000005863798725</v>
      </c>
      <c r="R70" s="22">
        <f t="shared" si="147"/>
        <v>0.0000002355390454</v>
      </c>
      <c r="S70" s="22">
        <f t="shared" si="124"/>
        <v>0</v>
      </c>
      <c r="T70" s="22">
        <f t="shared" si="130"/>
        <v>0.000001907348633</v>
      </c>
      <c r="U70" s="19"/>
    </row>
    <row r="71">
      <c r="L71" s="19"/>
      <c r="M71" s="19"/>
      <c r="N71" s="19"/>
      <c r="O71" s="19"/>
      <c r="P71" s="19"/>
      <c r="Q71" s="19"/>
      <c r="R71" s="19"/>
      <c r="S71" s="19"/>
      <c r="T71" s="19"/>
      <c r="U71" s="19"/>
    </row>
    <row r="72">
      <c r="L72" s="18" t="s">
        <v>15</v>
      </c>
      <c r="M72" s="19"/>
      <c r="N72" s="19"/>
      <c r="O72" s="19"/>
      <c r="P72" s="19"/>
      <c r="Q72" s="19"/>
      <c r="R72" s="19"/>
      <c r="S72" s="19"/>
      <c r="T72" s="19"/>
      <c r="U72" s="19"/>
    </row>
    <row r="73">
      <c r="L73" s="20" t="s">
        <v>3</v>
      </c>
      <c r="M73" s="20">
        <v>1.5</v>
      </c>
      <c r="N73" s="19"/>
      <c r="O73" s="19"/>
      <c r="P73" s="19"/>
      <c r="Q73" s="19"/>
      <c r="R73" s="19"/>
      <c r="S73" s="19"/>
      <c r="T73" s="19"/>
      <c r="U73" s="19"/>
    </row>
    <row r="74">
      <c r="L74" s="20" t="s">
        <v>4</v>
      </c>
      <c r="M74" s="20">
        <v>2.0</v>
      </c>
      <c r="N74" s="19"/>
      <c r="O74" s="19"/>
      <c r="P74" s="19"/>
      <c r="Q74" s="19"/>
      <c r="R74" s="19"/>
      <c r="S74" s="19"/>
      <c r="T74" s="19"/>
      <c r="U74" s="19"/>
    </row>
    <row r="75">
      <c r="L75" s="20" t="s">
        <v>5</v>
      </c>
      <c r="M75" s="20">
        <v>1.0E-6</v>
      </c>
      <c r="N75" s="19"/>
      <c r="O75" s="19"/>
      <c r="P75" s="19"/>
      <c r="Q75" s="19"/>
      <c r="R75" s="19"/>
      <c r="S75" s="19"/>
      <c r="T75" s="19"/>
      <c r="U75" s="19"/>
    </row>
    <row r="76">
      <c r="L76" s="19"/>
      <c r="M76" s="19"/>
      <c r="N76" s="19"/>
      <c r="O76" s="19"/>
      <c r="P76" s="19"/>
      <c r="Q76" s="19"/>
      <c r="R76" s="19"/>
      <c r="S76" s="19"/>
      <c r="T76" s="19"/>
      <c r="U76" s="19"/>
    </row>
    <row r="77">
      <c r="L77" s="21" t="s">
        <v>6</v>
      </c>
      <c r="M77" s="21" t="s">
        <v>7</v>
      </c>
      <c r="N77" s="21" t="s">
        <v>8</v>
      </c>
      <c r="O77" s="21" t="s">
        <v>9</v>
      </c>
      <c r="P77" s="21" t="s">
        <v>10</v>
      </c>
      <c r="Q77" s="21" t="s">
        <v>11</v>
      </c>
      <c r="R77" s="21" t="s">
        <v>12</v>
      </c>
      <c r="S77" s="21" t="s">
        <v>13</v>
      </c>
      <c r="T77" s="21" t="s">
        <v>14</v>
      </c>
      <c r="U77" s="19"/>
    </row>
    <row r="78">
      <c r="L78" s="21">
        <v>0.0</v>
      </c>
      <c r="M78" s="22">
        <f>$M$73</f>
        <v>1.5</v>
      </c>
      <c r="N78" s="22">
        <f>$M$74</f>
        <v>2</v>
      </c>
      <c r="O78" s="22">
        <f t="shared" ref="O78:O95" si="149">(M78+N78)/2</f>
        <v>1.75</v>
      </c>
      <c r="P78" s="22">
        <f t="shared" ref="P78:R78" si="148">M78^3-M78^2*EXP(-0.5*M78)-3*M78+1</f>
        <v>-1.187824744</v>
      </c>
      <c r="Q78" s="22">
        <f t="shared" si="148"/>
        <v>1.528482235</v>
      </c>
      <c r="R78" s="22">
        <f t="shared" si="148"/>
        <v>-0.1672649353</v>
      </c>
      <c r="S78" s="22">
        <f t="shared" ref="S78:S95" si="151">P78*R78</f>
        <v>0.1986814289</v>
      </c>
      <c r="T78" s="22"/>
      <c r="U78" s="19"/>
    </row>
    <row r="79">
      <c r="L79" s="22">
        <f t="shared" ref="L79:L95" si="152">L78+1</f>
        <v>1</v>
      </c>
      <c r="M79" s="22">
        <f t="shared" ref="M79:M95" si="153">IF(S78&lt;0,M78,O78)</f>
        <v>1.75</v>
      </c>
      <c r="N79" s="22">
        <f t="shared" ref="N79:N95" si="154">IF(S78&lt;0,O78,N78)</f>
        <v>2</v>
      </c>
      <c r="O79" s="22">
        <f t="shared" si="149"/>
        <v>1.875</v>
      </c>
      <c r="P79" s="22">
        <f t="shared" ref="P79:R79" si="150">M79^3-M79^2*EXP(-0.5*M79)-3*M79+1</f>
        <v>-0.1672649353</v>
      </c>
      <c r="Q79" s="22">
        <f t="shared" si="150"/>
        <v>1.528482235</v>
      </c>
      <c r="R79" s="22">
        <f t="shared" si="150"/>
        <v>0.5900583437</v>
      </c>
      <c r="S79" s="22">
        <f t="shared" si="151"/>
        <v>-0.09869607066</v>
      </c>
      <c r="T79" s="22">
        <f t="shared" ref="T79:T95" si="156">ABS(O79-O78)</f>
        <v>0.125</v>
      </c>
      <c r="U79" s="19"/>
    </row>
    <row r="80">
      <c r="L80" s="22">
        <f t="shared" si="152"/>
        <v>2</v>
      </c>
      <c r="M80" s="22">
        <f t="shared" si="153"/>
        <v>1.75</v>
      </c>
      <c r="N80" s="22">
        <f t="shared" si="154"/>
        <v>1.875</v>
      </c>
      <c r="O80" s="22">
        <f t="shared" si="149"/>
        <v>1.8125</v>
      </c>
      <c r="P80" s="22">
        <f t="shared" ref="P80:R80" si="155">M80^3-M80^2*EXP(-0.5*M80)-3*M80+1</f>
        <v>-0.1672649353</v>
      </c>
      <c r="Q80" s="22">
        <f t="shared" si="155"/>
        <v>0.5900583437</v>
      </c>
      <c r="R80" s="22">
        <f t="shared" si="155"/>
        <v>0.1895225922</v>
      </c>
      <c r="S80" s="22">
        <f t="shared" si="151"/>
        <v>-0.03170048411</v>
      </c>
      <c r="T80" s="22">
        <f t="shared" si="156"/>
        <v>0.0625</v>
      </c>
      <c r="U80" s="19"/>
    </row>
    <row r="81">
      <c r="L81" s="22">
        <f t="shared" si="152"/>
        <v>3</v>
      </c>
      <c r="M81" s="22">
        <f t="shared" si="153"/>
        <v>1.75</v>
      </c>
      <c r="N81" s="22">
        <f t="shared" si="154"/>
        <v>1.8125</v>
      </c>
      <c r="O81" s="22">
        <f t="shared" si="149"/>
        <v>1.78125</v>
      </c>
      <c r="P81" s="22">
        <f t="shared" ref="P81:R81" si="157">M81^3-M81^2*EXP(-0.5*M81)-3*M81+1</f>
        <v>-0.1672649353</v>
      </c>
      <c r="Q81" s="22">
        <f t="shared" si="157"/>
        <v>0.1895225922</v>
      </c>
      <c r="R81" s="22">
        <f t="shared" si="157"/>
        <v>0.005756188096</v>
      </c>
      <c r="S81" s="22">
        <f t="shared" si="151"/>
        <v>-0.0009628084292</v>
      </c>
      <c r="T81" s="22">
        <f t="shared" si="156"/>
        <v>0.03125</v>
      </c>
      <c r="U81" s="19"/>
    </row>
    <row r="82">
      <c r="L82" s="22">
        <f t="shared" si="152"/>
        <v>4</v>
      </c>
      <c r="M82" s="22">
        <f t="shared" si="153"/>
        <v>1.75</v>
      </c>
      <c r="N82" s="22">
        <f t="shared" si="154"/>
        <v>1.78125</v>
      </c>
      <c r="O82" s="22">
        <f t="shared" si="149"/>
        <v>1.765625</v>
      </c>
      <c r="P82" s="22">
        <f t="shared" ref="P82:R82" si="158">M82^3-M82^2*EXP(-0.5*M82)-3*M82+1</f>
        <v>-0.1672649353</v>
      </c>
      <c r="Q82" s="22">
        <f t="shared" si="158"/>
        <v>0.005756188096</v>
      </c>
      <c r="R82" s="22">
        <f t="shared" si="158"/>
        <v>-0.08208551788</v>
      </c>
      <c r="S82" s="22">
        <f t="shared" si="151"/>
        <v>0.01373002883</v>
      </c>
      <c r="T82" s="22">
        <f t="shared" si="156"/>
        <v>0.015625</v>
      </c>
      <c r="U82" s="19"/>
    </row>
    <row r="83">
      <c r="L83" s="22">
        <f t="shared" si="152"/>
        <v>5</v>
      </c>
      <c r="M83" s="22">
        <f t="shared" si="153"/>
        <v>1.765625</v>
      </c>
      <c r="N83" s="22">
        <f t="shared" si="154"/>
        <v>1.78125</v>
      </c>
      <c r="O83" s="22">
        <f t="shared" si="149"/>
        <v>1.7734375</v>
      </c>
      <c r="P83" s="22">
        <f t="shared" ref="P83:R83" si="159">M83^3-M83^2*EXP(-0.5*M83)-3*M83+1</f>
        <v>-0.08208551788</v>
      </c>
      <c r="Q83" s="22">
        <f t="shared" si="159"/>
        <v>0.005756188096</v>
      </c>
      <c r="R83" s="22">
        <f t="shared" si="159"/>
        <v>-0.0384989543</v>
      </c>
      <c r="S83" s="22">
        <f t="shared" si="151"/>
        <v>0.003160206602</v>
      </c>
      <c r="T83" s="22">
        <f t="shared" si="156"/>
        <v>0.0078125</v>
      </c>
      <c r="U83" s="19"/>
    </row>
    <row r="84">
      <c r="L84" s="22">
        <f t="shared" si="152"/>
        <v>6</v>
      </c>
      <c r="M84" s="22">
        <f t="shared" si="153"/>
        <v>1.7734375</v>
      </c>
      <c r="N84" s="22">
        <f t="shared" si="154"/>
        <v>1.78125</v>
      </c>
      <c r="O84" s="22">
        <f t="shared" si="149"/>
        <v>1.77734375</v>
      </c>
      <c r="P84" s="22">
        <f t="shared" ref="P84:R84" si="160">M84^3-M84^2*EXP(-0.5*M84)-3*M84+1</f>
        <v>-0.0384989543</v>
      </c>
      <c r="Q84" s="22">
        <f t="shared" si="160"/>
        <v>0.005756188096</v>
      </c>
      <c r="R84" s="22">
        <f t="shared" si="160"/>
        <v>-0.01645514325</v>
      </c>
      <c r="S84" s="22">
        <f t="shared" si="151"/>
        <v>0.0006335058081</v>
      </c>
      <c r="T84" s="22">
        <f t="shared" si="156"/>
        <v>0.00390625</v>
      </c>
      <c r="U84" s="19"/>
    </row>
    <row r="85">
      <c r="L85" s="22">
        <f t="shared" si="152"/>
        <v>7</v>
      </c>
      <c r="M85" s="22">
        <f t="shared" si="153"/>
        <v>1.77734375</v>
      </c>
      <c r="N85" s="22">
        <f t="shared" si="154"/>
        <v>1.78125</v>
      </c>
      <c r="O85" s="22">
        <f t="shared" si="149"/>
        <v>1.779296875</v>
      </c>
      <c r="P85" s="22">
        <f t="shared" ref="P85:R85" si="161">M85^3-M85^2*EXP(-0.5*M85)-3*M85+1</f>
        <v>-0.01645514325</v>
      </c>
      <c r="Q85" s="22">
        <f t="shared" si="161"/>
        <v>0.005756188096</v>
      </c>
      <c r="R85" s="22">
        <f t="shared" si="161"/>
        <v>-0.005370441082</v>
      </c>
      <c r="S85" s="22">
        <f t="shared" si="151"/>
        <v>0.00008837137734</v>
      </c>
      <c r="T85" s="22">
        <f t="shared" si="156"/>
        <v>0.001953125</v>
      </c>
      <c r="U85" s="19"/>
    </row>
    <row r="86">
      <c r="L86" s="22">
        <f t="shared" si="152"/>
        <v>8</v>
      </c>
      <c r="M86" s="22">
        <f t="shared" si="153"/>
        <v>1.779296875</v>
      </c>
      <c r="N86" s="22">
        <f t="shared" si="154"/>
        <v>1.78125</v>
      </c>
      <c r="O86" s="22">
        <f t="shared" si="149"/>
        <v>1.780273438</v>
      </c>
      <c r="P86" s="22">
        <f t="shared" ref="P86:R86" si="162">M86^3-M86^2*EXP(-0.5*M86)-3*M86+1</f>
        <v>-0.005370441082</v>
      </c>
      <c r="Q86" s="22">
        <f t="shared" si="162"/>
        <v>0.005756188096</v>
      </c>
      <c r="R86" s="22">
        <f t="shared" si="162"/>
        <v>0.0001876296975</v>
      </c>
      <c r="S86" s="22">
        <f t="shared" si="151"/>
        <v>-0.000001007654236</v>
      </c>
      <c r="T86" s="22">
        <f t="shared" si="156"/>
        <v>0.0009765625</v>
      </c>
      <c r="U86" s="19"/>
    </row>
    <row r="87">
      <c r="L87" s="22">
        <f t="shared" si="152"/>
        <v>9</v>
      </c>
      <c r="M87" s="22">
        <f t="shared" si="153"/>
        <v>1.779296875</v>
      </c>
      <c r="N87" s="22">
        <f t="shared" si="154"/>
        <v>1.780273438</v>
      </c>
      <c r="O87" s="22">
        <f t="shared" si="149"/>
        <v>1.779785156</v>
      </c>
      <c r="P87" s="22">
        <f t="shared" ref="P87:R87" si="163">M87^3-M87^2*EXP(-0.5*M87)-3*M87+1</f>
        <v>-0.005370441082</v>
      </c>
      <c r="Q87" s="22">
        <f t="shared" si="163"/>
        <v>0.0001876296975</v>
      </c>
      <c r="R87" s="22">
        <f t="shared" si="163"/>
        <v>-0.002592716278</v>
      </c>
      <c r="S87" s="22">
        <f t="shared" si="151"/>
        <v>0.00001392403002</v>
      </c>
      <c r="T87" s="22">
        <f t="shared" si="156"/>
        <v>0.00048828125</v>
      </c>
      <c r="U87" s="19"/>
    </row>
    <row r="88">
      <c r="L88" s="22">
        <f t="shared" si="152"/>
        <v>10</v>
      </c>
      <c r="M88" s="22">
        <f t="shared" si="153"/>
        <v>1.779785156</v>
      </c>
      <c r="N88" s="22">
        <f t="shared" si="154"/>
        <v>1.780273438</v>
      </c>
      <c r="O88" s="22">
        <f t="shared" si="149"/>
        <v>1.780029297</v>
      </c>
      <c r="P88" s="22">
        <f t="shared" ref="P88:R88" si="164">M88^3-M88^2*EXP(-0.5*M88)-3*M88+1</f>
        <v>-0.002592716278</v>
      </c>
      <c r="Q88" s="22">
        <f t="shared" si="164"/>
        <v>0.0001876296975</v>
      </c>
      <c r="R88" s="22">
        <f t="shared" si="164"/>
        <v>-0.001202870983</v>
      </c>
      <c r="S88" s="22">
        <f t="shared" si="151"/>
        <v>0.000003118703177</v>
      </c>
      <c r="T88" s="22">
        <f t="shared" si="156"/>
        <v>0.000244140625</v>
      </c>
      <c r="U88" s="19"/>
    </row>
    <row r="89">
      <c r="L89" s="22">
        <f t="shared" si="152"/>
        <v>11</v>
      </c>
      <c r="M89" s="22">
        <f t="shared" si="153"/>
        <v>1.780029297</v>
      </c>
      <c r="N89" s="22">
        <f t="shared" si="154"/>
        <v>1.780273438</v>
      </c>
      <c r="O89" s="22">
        <f t="shared" si="149"/>
        <v>1.780151367</v>
      </c>
      <c r="P89" s="22">
        <f t="shared" ref="P89:R89" si="165">M89^3-M89^2*EXP(-0.5*M89)-3*M89+1</f>
        <v>-0.001202870983</v>
      </c>
      <c r="Q89" s="22">
        <f t="shared" si="165"/>
        <v>0.0001876296975</v>
      </c>
      <c r="R89" s="22">
        <f t="shared" si="165"/>
        <v>-0.0005077025713</v>
      </c>
      <c r="S89" s="22">
        <f t="shared" si="151"/>
        <v>0.0000006107006908</v>
      </c>
      <c r="T89" s="22">
        <f t="shared" si="156"/>
        <v>0.0001220703125</v>
      </c>
      <c r="U89" s="19"/>
    </row>
    <row r="90">
      <c r="L90" s="22">
        <f t="shared" si="152"/>
        <v>12</v>
      </c>
      <c r="M90" s="22">
        <f t="shared" si="153"/>
        <v>1.780151367</v>
      </c>
      <c r="N90" s="22">
        <f t="shared" si="154"/>
        <v>1.780273438</v>
      </c>
      <c r="O90" s="22">
        <f t="shared" si="149"/>
        <v>1.780212402</v>
      </c>
      <c r="P90" s="22">
        <f t="shared" ref="P90:R90" si="166">M90^3-M90^2*EXP(-0.5*M90)-3*M90+1</f>
        <v>-0.0005077025713</v>
      </c>
      <c r="Q90" s="22">
        <f t="shared" si="166"/>
        <v>0.0001876296975</v>
      </c>
      <c r="R90" s="22">
        <f t="shared" si="166"/>
        <v>-0.0001600569198</v>
      </c>
      <c r="S90" s="22">
        <f t="shared" si="151"/>
        <v>0.00000008126130975</v>
      </c>
      <c r="T90" s="22">
        <f t="shared" si="156"/>
        <v>0.00006103515625</v>
      </c>
      <c r="U90" s="19"/>
    </row>
    <row r="91">
      <c r="L91" s="22">
        <f t="shared" si="152"/>
        <v>13</v>
      </c>
      <c r="M91" s="22">
        <f t="shared" si="153"/>
        <v>1.780212402</v>
      </c>
      <c r="N91" s="22">
        <f t="shared" si="154"/>
        <v>1.780273438</v>
      </c>
      <c r="O91" s="22">
        <f t="shared" si="149"/>
        <v>1.78024292</v>
      </c>
      <c r="P91" s="22">
        <f t="shared" ref="P91:R91" si="167">M91^3-M91^2*EXP(-0.5*M91)-3*M91+1</f>
        <v>-0.0001600569198</v>
      </c>
      <c r="Q91" s="22">
        <f t="shared" si="167"/>
        <v>0.0001876296975</v>
      </c>
      <c r="R91" s="22">
        <f t="shared" si="167"/>
        <v>0.00001378126803</v>
      </c>
      <c r="S91" s="22">
        <f t="shared" si="151"/>
        <v>-0.000000002205787311</v>
      </c>
      <c r="T91" s="22">
        <f t="shared" si="156"/>
        <v>0.00003051757813</v>
      </c>
      <c r="U91" s="19"/>
    </row>
    <row r="92">
      <c r="L92" s="22">
        <f t="shared" si="152"/>
        <v>14</v>
      </c>
      <c r="M92" s="22">
        <f t="shared" si="153"/>
        <v>1.780212402</v>
      </c>
      <c r="N92" s="22">
        <f t="shared" si="154"/>
        <v>1.78024292</v>
      </c>
      <c r="O92" s="22">
        <f t="shared" si="149"/>
        <v>1.780227661</v>
      </c>
      <c r="P92" s="22">
        <f t="shared" ref="P92:R92" si="168">M92^3-M92^2*EXP(-0.5*M92)-3*M92+1</f>
        <v>-0.0001600569198</v>
      </c>
      <c r="Q92" s="22">
        <f t="shared" si="168"/>
        <v>0.00001378126803</v>
      </c>
      <c r="R92" s="22">
        <f t="shared" si="168"/>
        <v>-0.00007313910609</v>
      </c>
      <c r="S92" s="22">
        <f t="shared" si="151"/>
        <v>0.00000001170642004</v>
      </c>
      <c r="T92" s="22">
        <f t="shared" si="156"/>
        <v>0.00001525878906</v>
      </c>
      <c r="U92" s="19"/>
    </row>
    <row r="93">
      <c r="L93" s="22">
        <f t="shared" si="152"/>
        <v>15</v>
      </c>
      <c r="M93" s="22">
        <f t="shared" si="153"/>
        <v>1.780227661</v>
      </c>
      <c r="N93" s="22">
        <f t="shared" si="154"/>
        <v>1.78024292</v>
      </c>
      <c r="O93" s="22">
        <f t="shared" si="149"/>
        <v>1.780235291</v>
      </c>
      <c r="P93" s="22">
        <f t="shared" ref="P93:R93" si="169">M93^3-M93^2*EXP(-0.5*M93)-3*M93+1</f>
        <v>-0.00007313910609</v>
      </c>
      <c r="Q93" s="22">
        <f t="shared" si="169"/>
        <v>0.00001378126803</v>
      </c>
      <c r="R93" s="22">
        <f t="shared" si="169"/>
        <v>-0.00002967923908</v>
      </c>
      <c r="S93" s="22">
        <f t="shared" si="151"/>
        <v>0.000000002170713016</v>
      </c>
      <c r="T93" s="22">
        <f t="shared" si="156"/>
        <v>0.000007629394531</v>
      </c>
      <c r="U93" s="19"/>
    </row>
    <row r="94">
      <c r="L94" s="22">
        <f t="shared" si="152"/>
        <v>16</v>
      </c>
      <c r="M94" s="22">
        <f t="shared" si="153"/>
        <v>1.780235291</v>
      </c>
      <c r="N94" s="22">
        <f t="shared" si="154"/>
        <v>1.78024292</v>
      </c>
      <c r="O94" s="22">
        <f t="shared" si="149"/>
        <v>1.780239105</v>
      </c>
      <c r="P94" s="22">
        <f t="shared" ref="P94:R94" si="170">M94^3-M94^2*EXP(-0.5*M94)-3*M94+1</f>
        <v>-0.00002967923908</v>
      </c>
      <c r="Q94" s="22">
        <f t="shared" si="170"/>
        <v>0.00001378126803</v>
      </c>
      <c r="R94" s="22">
        <f t="shared" si="170"/>
        <v>-0.00000794906554</v>
      </c>
      <c r="S94" s="22">
        <f t="shared" si="151"/>
        <v>0.0000000002359222166</v>
      </c>
      <c r="T94" s="22">
        <f t="shared" si="156"/>
        <v>0.000003814697266</v>
      </c>
      <c r="U94" s="19"/>
    </row>
    <row r="95">
      <c r="L95" s="22">
        <f t="shared" si="152"/>
        <v>17</v>
      </c>
      <c r="M95" s="17">
        <f t="shared" si="153"/>
        <v>1.780239105</v>
      </c>
      <c r="N95" s="17">
        <f t="shared" si="154"/>
        <v>1.78024292</v>
      </c>
      <c r="O95" s="17">
        <f t="shared" si="149"/>
        <v>1.780241013</v>
      </c>
      <c r="P95" s="22">
        <f t="shared" ref="P95:R95" si="171">M95^3-M95^2*EXP(-0.5*M95)-3*M95+1</f>
        <v>-0.00000794906554</v>
      </c>
      <c r="Q95" s="22">
        <f t="shared" si="171"/>
        <v>0.00001378126803</v>
      </c>
      <c r="R95" s="22">
        <f t="shared" si="171"/>
        <v>0.00000291608124</v>
      </c>
      <c r="S95" s="22">
        <f t="shared" si="151"/>
        <v>0</v>
      </c>
      <c r="T95" s="22">
        <f t="shared" si="156"/>
        <v>0.000001907348633</v>
      </c>
      <c r="U9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2"/>
      <c r="C1" s="2"/>
      <c r="D1" s="2"/>
      <c r="E1" s="2"/>
      <c r="F1" s="2"/>
      <c r="H1" s="3" t="s">
        <v>18</v>
      </c>
      <c r="I1" s="4"/>
      <c r="J1" s="4"/>
      <c r="K1" s="4"/>
      <c r="L1" s="4"/>
      <c r="M1" s="4"/>
      <c r="O1" s="5" t="s">
        <v>18</v>
      </c>
      <c r="P1" s="6"/>
      <c r="Q1" s="6"/>
      <c r="R1" s="6"/>
      <c r="S1" s="6"/>
      <c r="T1" s="6"/>
    </row>
    <row r="2">
      <c r="A2" s="7" t="s">
        <v>19</v>
      </c>
      <c r="B2" s="7">
        <v>8.0</v>
      </c>
      <c r="C2" s="2"/>
      <c r="D2" s="2"/>
      <c r="E2" s="2"/>
      <c r="F2" s="2"/>
      <c r="H2" s="8" t="s">
        <v>19</v>
      </c>
      <c r="I2" s="8">
        <v>5.5</v>
      </c>
      <c r="J2" s="4"/>
      <c r="K2" s="4"/>
      <c r="L2" s="4"/>
      <c r="M2" s="4"/>
      <c r="O2" s="9" t="s">
        <v>19</v>
      </c>
      <c r="P2" s="9">
        <v>3.5</v>
      </c>
      <c r="Q2" s="6"/>
      <c r="R2" s="6"/>
      <c r="S2" s="6"/>
      <c r="T2" s="6"/>
    </row>
    <row r="3">
      <c r="A3" s="7" t="s">
        <v>5</v>
      </c>
      <c r="B3" s="7">
        <v>1.0E-6</v>
      </c>
      <c r="C3" s="2"/>
      <c r="D3" s="2"/>
      <c r="E3" s="2"/>
      <c r="F3" s="2"/>
      <c r="H3" s="8" t="s">
        <v>5</v>
      </c>
      <c r="I3" s="8">
        <v>1.0E-6</v>
      </c>
      <c r="J3" s="4"/>
      <c r="K3" s="4"/>
      <c r="L3" s="4"/>
      <c r="M3" s="4"/>
      <c r="O3" s="9" t="s">
        <v>5</v>
      </c>
      <c r="P3" s="9">
        <v>1.0E-6</v>
      </c>
      <c r="Q3" s="6"/>
      <c r="R3" s="6"/>
      <c r="S3" s="6"/>
      <c r="T3" s="6"/>
    </row>
    <row r="4">
      <c r="A4" s="2"/>
      <c r="B4" s="2"/>
      <c r="C4" s="2"/>
      <c r="D4" s="2"/>
      <c r="E4" s="2"/>
      <c r="F4" s="2"/>
      <c r="H4" s="4"/>
      <c r="I4" s="4"/>
      <c r="J4" s="4"/>
      <c r="K4" s="4"/>
      <c r="L4" s="4"/>
      <c r="M4" s="4"/>
      <c r="O4" s="6"/>
      <c r="P4" s="6"/>
      <c r="Q4" s="6"/>
      <c r="R4" s="6"/>
      <c r="S4" s="6"/>
      <c r="T4" s="6"/>
    </row>
    <row r="5">
      <c r="A5" s="2"/>
      <c r="B5" s="2"/>
      <c r="C5" s="2"/>
      <c r="D5" s="2"/>
      <c r="E5" s="2"/>
      <c r="F5" s="2"/>
      <c r="H5" s="4"/>
      <c r="I5" s="4"/>
      <c r="J5" s="4"/>
      <c r="K5" s="4"/>
      <c r="L5" s="4"/>
      <c r="M5" s="4"/>
      <c r="O5" s="12" t="s">
        <v>6</v>
      </c>
      <c r="P5" s="12" t="s">
        <v>20</v>
      </c>
      <c r="Q5" s="12" t="s">
        <v>21</v>
      </c>
      <c r="R5" s="12" t="s">
        <v>22</v>
      </c>
      <c r="S5" s="12" t="s">
        <v>14</v>
      </c>
      <c r="T5" s="6"/>
    </row>
    <row r="6">
      <c r="A6" s="10" t="s">
        <v>6</v>
      </c>
      <c r="B6" s="10" t="s">
        <v>20</v>
      </c>
      <c r="C6" s="10" t="s">
        <v>21</v>
      </c>
      <c r="D6" s="10" t="s">
        <v>22</v>
      </c>
      <c r="E6" s="10" t="s">
        <v>14</v>
      </c>
      <c r="F6" s="13"/>
      <c r="H6" s="8" t="s">
        <v>6</v>
      </c>
      <c r="I6" s="8" t="s">
        <v>20</v>
      </c>
      <c r="J6" s="8" t="s">
        <v>21</v>
      </c>
      <c r="K6" s="8" t="s">
        <v>22</v>
      </c>
      <c r="L6" s="8" t="s">
        <v>14</v>
      </c>
      <c r="M6" s="4"/>
      <c r="O6" s="12">
        <v>0.0</v>
      </c>
      <c r="P6" s="15">
        <f>$P$2</f>
        <v>3.5</v>
      </c>
      <c r="Q6" s="15">
        <f t="shared" ref="Q6:Q10" si="1">COS(P6)^2-0.5*P6*EXP(0.3*P6)+5</f>
        <v>0.8760616706</v>
      </c>
      <c r="R6" s="15">
        <f t="shared" ref="R6:R10" si="2">-2*COS(P6)*SIN(P6)-0.5*EXP(0.3*P6)*(1+0.3*P6)</f>
        <v>-3.586078995</v>
      </c>
      <c r="S6" s="15"/>
      <c r="T6" s="6"/>
    </row>
    <row r="7">
      <c r="A7" s="10">
        <v>0.0</v>
      </c>
      <c r="B7" s="13">
        <f>$B$2</f>
        <v>8</v>
      </c>
      <c r="C7" s="13">
        <f t="shared" ref="C7:C13" si="3">B7^3-EXP(0.8*B7)-20</f>
        <v>-109.8450379</v>
      </c>
      <c r="D7" s="13">
        <f t="shared" ref="D7:D13" si="4">3*B7^2-0.8*EXP(0.8*B7)</f>
        <v>-289.4760303</v>
      </c>
      <c r="E7" s="13"/>
      <c r="F7" s="13"/>
      <c r="H7" s="11">
        <v>0.0</v>
      </c>
      <c r="I7" s="14">
        <f>$I$2</f>
        <v>5.5</v>
      </c>
      <c r="J7" s="14">
        <f t="shared" ref="J7:J10" si="5">3*SIN(0.5*I7)-0.5*I7+2</f>
        <v>0.3949829762</v>
      </c>
      <c r="K7" s="14">
        <f t="shared" ref="K7:K10" si="6">1.5*COS(0.5*I7)-0.5</f>
        <v>-1.886453568</v>
      </c>
      <c r="L7" s="14"/>
      <c r="M7" s="4"/>
      <c r="O7" s="15">
        <f t="shared" ref="O7:O10" si="7">O6+1</f>
        <v>1</v>
      </c>
      <c r="P7" s="15">
        <f t="shared" ref="P7:P10" si="8">P6-Q6/R6</f>
        <v>3.74429514</v>
      </c>
      <c r="Q7" s="15">
        <f t="shared" si="1"/>
        <v>-0.07810218115</v>
      </c>
      <c r="R7" s="15">
        <f t="shared" si="2"/>
        <v>-4.198486724</v>
      </c>
      <c r="S7" s="16">
        <f t="shared" ref="S7:S10" si="9">ABS(P7-P6)</f>
        <v>0.2442951401</v>
      </c>
      <c r="T7" s="6"/>
    </row>
    <row r="8">
      <c r="A8" s="13">
        <f t="shared" ref="A8:A13" si="10">A7+1</f>
        <v>1</v>
      </c>
      <c r="B8" s="13">
        <f t="shared" ref="B8:B13" si="11">B7-C7/D7</f>
        <v>7.620538399</v>
      </c>
      <c r="C8" s="13">
        <f t="shared" si="3"/>
        <v>-21.72469514</v>
      </c>
      <c r="D8" s="13">
        <f t="shared" si="4"/>
        <v>-181.1975557</v>
      </c>
      <c r="E8" s="10">
        <f t="shared" ref="E8:E13" si="12">ABS(B8-B7)</f>
        <v>0.3794616009</v>
      </c>
      <c r="F8" s="13"/>
      <c r="H8" s="14">
        <f t="shared" ref="H8:H10" si="13">H7+1</f>
        <v>1</v>
      </c>
      <c r="I8" s="14">
        <f t="shared" ref="I8:I10" si="14">I7-J7/K7</f>
        <v>5.709378584</v>
      </c>
      <c r="J8" s="14">
        <f t="shared" si="5"/>
        <v>-0.005738719195</v>
      </c>
      <c r="K8" s="14">
        <f t="shared" si="6"/>
        <v>-1.938687155</v>
      </c>
      <c r="L8" s="11">
        <f t="shared" ref="L8:L10" si="15">ABS(I8-I7)</f>
        <v>0.2093785836</v>
      </c>
      <c r="M8" s="4"/>
      <c r="O8" s="15">
        <f t="shared" si="7"/>
        <v>2</v>
      </c>
      <c r="P8" s="15">
        <f t="shared" si="8"/>
        <v>3.72569268</v>
      </c>
      <c r="Q8" s="15">
        <f t="shared" si="1"/>
        <v>-0.0003762917522</v>
      </c>
      <c r="R8" s="15">
        <f t="shared" si="2"/>
        <v>-4.157849496</v>
      </c>
      <c r="S8" s="16">
        <f t="shared" si="9"/>
        <v>0.01860245995</v>
      </c>
      <c r="T8" s="6"/>
    </row>
    <row r="9">
      <c r="A9" s="13">
        <f t="shared" si="10"/>
        <v>2</v>
      </c>
      <c r="B9" s="13">
        <f t="shared" si="11"/>
        <v>7.500643321</v>
      </c>
      <c r="C9" s="13">
        <f t="shared" si="3"/>
        <v>-1.652904534</v>
      </c>
      <c r="D9" s="13">
        <f t="shared" si="4"/>
        <v>-154.1302287</v>
      </c>
      <c r="E9" s="10">
        <f t="shared" si="12"/>
        <v>0.1198950784</v>
      </c>
      <c r="F9" s="13"/>
      <c r="H9" s="14">
        <f t="shared" si="13"/>
        <v>2</v>
      </c>
      <c r="I9" s="14">
        <f t="shared" si="14"/>
        <v>5.706418478</v>
      </c>
      <c r="J9" s="14">
        <f t="shared" si="5"/>
        <v>-0.0000009313918063</v>
      </c>
      <c r="K9" s="14">
        <f t="shared" si="6"/>
        <v>-1.938057334</v>
      </c>
      <c r="L9" s="11">
        <f t="shared" si="15"/>
        <v>0.002960105852</v>
      </c>
      <c r="M9" s="4"/>
      <c r="O9" s="15">
        <f t="shared" si="7"/>
        <v>3</v>
      </c>
      <c r="P9" s="15">
        <f t="shared" si="8"/>
        <v>3.725602179</v>
      </c>
      <c r="Q9" s="15">
        <f t="shared" si="1"/>
        <v>-0.000000009065794337</v>
      </c>
      <c r="R9" s="15">
        <f t="shared" si="2"/>
        <v>-4.157649146</v>
      </c>
      <c r="S9" s="16">
        <f t="shared" si="9"/>
        <v>0.00009050153271</v>
      </c>
      <c r="T9" s="6"/>
    </row>
    <row r="10">
      <c r="A10" s="13">
        <f t="shared" si="10"/>
        <v>3</v>
      </c>
      <c r="B10" s="13">
        <f t="shared" si="11"/>
        <v>7.489919243</v>
      </c>
      <c r="C10" s="13">
        <f t="shared" si="3"/>
        <v>-0.01222556712</v>
      </c>
      <c r="D10" s="13">
        <f t="shared" si="4"/>
        <v>-151.8540358</v>
      </c>
      <c r="E10" s="10">
        <f t="shared" si="12"/>
        <v>0.01072407761</v>
      </c>
      <c r="F10" s="13"/>
      <c r="H10" s="14">
        <f t="shared" si="13"/>
        <v>3</v>
      </c>
      <c r="I10" s="17">
        <f t="shared" si="14"/>
        <v>5.706417997</v>
      </c>
      <c r="J10" s="14">
        <f t="shared" si="5"/>
        <v>0</v>
      </c>
      <c r="K10" s="14">
        <f t="shared" si="6"/>
        <v>-1.938057232</v>
      </c>
      <c r="L10" s="11">
        <f t="shared" si="15"/>
        <v>0.0000004805801099</v>
      </c>
      <c r="M10" s="4"/>
      <c r="O10" s="15">
        <f t="shared" si="7"/>
        <v>4</v>
      </c>
      <c r="P10" s="17">
        <f t="shared" si="8"/>
        <v>3.725602176</v>
      </c>
      <c r="Q10" s="15">
        <f t="shared" si="1"/>
        <v>0</v>
      </c>
      <c r="R10" s="15">
        <f t="shared" si="2"/>
        <v>-4.157649141</v>
      </c>
      <c r="S10" s="16">
        <f t="shared" si="9"/>
        <v>0.000000002180509551</v>
      </c>
      <c r="T10" s="6"/>
    </row>
    <row r="11">
      <c r="A11" s="13">
        <f t="shared" si="10"/>
        <v>4</v>
      </c>
      <c r="B11" s="13">
        <f t="shared" si="11"/>
        <v>7.489838734</v>
      </c>
      <c r="C11" s="13">
        <f t="shared" si="3"/>
        <v>-0.0000006843829965</v>
      </c>
      <c r="D11" s="13">
        <f t="shared" si="4"/>
        <v>-151.8370346</v>
      </c>
      <c r="E11" s="10">
        <f t="shared" si="12"/>
        <v>0.00008050867436</v>
      </c>
      <c r="F11" s="13"/>
      <c r="H11" s="4"/>
      <c r="I11" s="4"/>
      <c r="J11" s="4"/>
      <c r="K11" s="4"/>
      <c r="L11" s="8"/>
      <c r="M11" s="4"/>
      <c r="O11" s="6"/>
      <c r="P11" s="6"/>
      <c r="Q11" s="6"/>
      <c r="R11" s="6"/>
      <c r="S11" s="6"/>
      <c r="T11" s="6"/>
    </row>
    <row r="12">
      <c r="A12" s="13">
        <f t="shared" si="10"/>
        <v>5</v>
      </c>
      <c r="B12" s="13">
        <f t="shared" si="11"/>
        <v>7.48983873</v>
      </c>
      <c r="C12" s="13">
        <f t="shared" si="3"/>
        <v>0</v>
      </c>
      <c r="D12" s="13">
        <f t="shared" si="4"/>
        <v>-151.8370336</v>
      </c>
      <c r="E12" s="10">
        <f t="shared" si="12"/>
        <v>0.000000004507351825</v>
      </c>
      <c r="F12" s="13"/>
      <c r="L12" s="25"/>
    </row>
    <row r="13">
      <c r="A13" s="13">
        <f t="shared" si="10"/>
        <v>6</v>
      </c>
      <c r="B13" s="17">
        <f t="shared" si="11"/>
        <v>7.48983873</v>
      </c>
      <c r="C13" s="13">
        <f t="shared" si="3"/>
        <v>0</v>
      </c>
      <c r="D13" s="13">
        <f t="shared" si="4"/>
        <v>-151.8370336</v>
      </c>
      <c r="E13" s="10">
        <f t="shared" si="12"/>
        <v>0</v>
      </c>
      <c r="F13" s="13"/>
      <c r="H13" s="18" t="s">
        <v>23</v>
      </c>
      <c r="I13" s="19"/>
      <c r="J13" s="19"/>
      <c r="K13" s="19"/>
      <c r="L13" s="19"/>
      <c r="M13" s="19"/>
    </row>
    <row r="14">
      <c r="A14" s="2"/>
      <c r="B14" s="2"/>
      <c r="C14" s="2"/>
      <c r="D14" s="2"/>
      <c r="E14" s="2"/>
      <c r="F14" s="2"/>
      <c r="H14" s="20" t="s">
        <v>19</v>
      </c>
      <c r="I14" s="20">
        <v>-1.2</v>
      </c>
      <c r="J14" s="19"/>
      <c r="K14" s="19"/>
      <c r="L14" s="19"/>
      <c r="M14" s="19"/>
    </row>
    <row r="15">
      <c r="A15" s="1" t="s">
        <v>17</v>
      </c>
      <c r="B15" s="2"/>
      <c r="C15" s="2"/>
      <c r="D15" s="2"/>
      <c r="E15" s="2"/>
      <c r="F15" s="2"/>
      <c r="H15" s="20" t="s">
        <v>5</v>
      </c>
      <c r="I15" s="20">
        <v>1.0E-6</v>
      </c>
      <c r="J15" s="19"/>
      <c r="K15" s="19"/>
      <c r="L15" s="19"/>
      <c r="M15" s="19"/>
    </row>
    <row r="16">
      <c r="A16" s="7" t="s">
        <v>19</v>
      </c>
      <c r="B16" s="7">
        <v>3.0</v>
      </c>
      <c r="C16" s="2"/>
      <c r="D16" s="2"/>
      <c r="E16" s="2"/>
      <c r="F16" s="2"/>
      <c r="H16" s="19"/>
      <c r="I16" s="19"/>
      <c r="J16" s="19"/>
      <c r="K16" s="19"/>
      <c r="L16" s="19"/>
      <c r="M16" s="19"/>
    </row>
    <row r="17">
      <c r="A17" s="7" t="s">
        <v>5</v>
      </c>
      <c r="B17" s="7">
        <v>1.0E-6</v>
      </c>
      <c r="C17" s="2"/>
      <c r="D17" s="2"/>
      <c r="E17" s="2"/>
      <c r="F17" s="2"/>
      <c r="H17" s="21" t="s">
        <v>6</v>
      </c>
      <c r="I17" s="21" t="s">
        <v>20</v>
      </c>
      <c r="J17" s="21" t="s">
        <v>21</v>
      </c>
      <c r="K17" s="21" t="s">
        <v>22</v>
      </c>
      <c r="L17" s="21" t="s">
        <v>14</v>
      </c>
      <c r="M17" s="19"/>
    </row>
    <row r="18">
      <c r="A18" s="2"/>
      <c r="B18" s="2"/>
      <c r="C18" s="2"/>
      <c r="D18" s="2"/>
      <c r="E18" s="2"/>
      <c r="F18" s="2"/>
      <c r="H18" s="21">
        <v>0.0</v>
      </c>
      <c r="I18" s="22">
        <f>$I$14</f>
        <v>-1.2</v>
      </c>
      <c r="J18" s="22">
        <f t="shared" ref="J18:J22" si="16">I18^3-I18^2*EXP(-0.5*I18)-3*I18+1</f>
        <v>0.2481489274</v>
      </c>
      <c r="K18" s="22">
        <f t="shared" ref="K18:K22" si="17">3*I18^2-2*I18*EXP(-0.5*I18)+0.5*I18^2*EXP(-0.5*I18)-3</f>
        <v>7.005010657</v>
      </c>
      <c r="L18" s="22"/>
      <c r="M18" s="19"/>
    </row>
    <row r="19">
      <c r="A19" s="2"/>
      <c r="B19" s="2"/>
      <c r="C19" s="2"/>
      <c r="D19" s="2"/>
      <c r="E19" s="2"/>
      <c r="F19" s="2"/>
      <c r="H19" s="22">
        <f t="shared" ref="H19:H22" si="18">H18+1</f>
        <v>1</v>
      </c>
      <c r="I19" s="22">
        <f t="shared" ref="I19:I22" si="19">I18-J18/K18</f>
        <v>-1.23542449</v>
      </c>
      <c r="J19" s="22">
        <f t="shared" si="16"/>
        <v>-0.01007184915</v>
      </c>
      <c r="K19" s="22">
        <f t="shared" si="17"/>
        <v>7.576830241</v>
      </c>
      <c r="L19" s="26">
        <f t="shared" ref="L19:L22" si="20">ABS(I19-I18)</f>
        <v>0.03542448964</v>
      </c>
      <c r="M19" s="19"/>
    </row>
    <row r="20">
      <c r="A20" s="10" t="s">
        <v>6</v>
      </c>
      <c r="B20" s="10" t="s">
        <v>20</v>
      </c>
      <c r="C20" s="10" t="s">
        <v>21</v>
      </c>
      <c r="D20" s="10" t="s">
        <v>22</v>
      </c>
      <c r="E20" s="10" t="s">
        <v>14</v>
      </c>
      <c r="F20" s="2"/>
      <c r="H20" s="22">
        <f t="shared" si="18"/>
        <v>2</v>
      </c>
      <c r="I20" s="22">
        <f t="shared" si="19"/>
        <v>-1.234095194</v>
      </c>
      <c r="J20" s="22">
        <f t="shared" si="16"/>
        <v>-0.00001449442</v>
      </c>
      <c r="K20" s="22">
        <f t="shared" si="17"/>
        <v>7.555027095</v>
      </c>
      <c r="L20" s="26">
        <f t="shared" si="20"/>
        <v>0.00132929587</v>
      </c>
      <c r="M20" s="19"/>
    </row>
    <row r="21">
      <c r="A21" s="10">
        <v>0.0</v>
      </c>
      <c r="B21" s="13">
        <f>$B$16</f>
        <v>3</v>
      </c>
      <c r="C21" s="13">
        <f t="shared" ref="C21:C25" si="21">B21^3-EXP(0.8*B21)-20</f>
        <v>-4.023176381</v>
      </c>
      <c r="D21" s="13">
        <f t="shared" ref="D21:D25" si="22">3*B21^2-0.8*EXP(0.8*B21)</f>
        <v>18.1814589</v>
      </c>
      <c r="E21" s="13"/>
      <c r="F21" s="2"/>
      <c r="H21" s="22">
        <f t="shared" si="18"/>
        <v>3</v>
      </c>
      <c r="I21" s="22">
        <f t="shared" si="19"/>
        <v>-1.234093275</v>
      </c>
      <c r="J21" s="22">
        <f t="shared" si="16"/>
        <v>0</v>
      </c>
      <c r="K21" s="22">
        <f t="shared" si="17"/>
        <v>7.554995647</v>
      </c>
      <c r="L21" s="26">
        <f t="shared" si="20"/>
        <v>0.000001918513305</v>
      </c>
      <c r="M21" s="19"/>
    </row>
    <row r="22">
      <c r="A22" s="13">
        <f t="shared" ref="A22:A25" si="23">A21+1</f>
        <v>1</v>
      </c>
      <c r="B22" s="13">
        <f t="shared" ref="B22:B25" si="24">B21-C21/D21</f>
        <v>3.221279074</v>
      </c>
      <c r="C22" s="13">
        <f t="shared" si="21"/>
        <v>0.2681375381</v>
      </c>
      <c r="D22" s="13">
        <f t="shared" si="22"/>
        <v>20.60358692</v>
      </c>
      <c r="E22" s="10">
        <f t="shared" ref="E22:E25" si="25">ABS(B22-B21)</f>
        <v>0.2212790736</v>
      </c>
      <c r="F22" s="2"/>
      <c r="H22" s="22">
        <f t="shared" si="18"/>
        <v>4</v>
      </c>
      <c r="I22" s="17">
        <f t="shared" si="19"/>
        <v>-1.234093275</v>
      </c>
      <c r="J22" s="22">
        <f t="shared" si="16"/>
        <v>0</v>
      </c>
      <c r="K22" s="22">
        <f t="shared" si="17"/>
        <v>7.554995647</v>
      </c>
      <c r="L22" s="26">
        <f t="shared" si="20"/>
        <v>0</v>
      </c>
      <c r="M22" s="19"/>
    </row>
    <row r="23">
      <c r="A23" s="13">
        <f t="shared" si="23"/>
        <v>2</v>
      </c>
      <c r="B23" s="13">
        <f t="shared" si="24"/>
        <v>3.208264954</v>
      </c>
      <c r="C23" s="13">
        <f t="shared" si="21"/>
        <v>0.0009238758699</v>
      </c>
      <c r="D23" s="13">
        <f t="shared" si="22"/>
        <v>20.46158657</v>
      </c>
      <c r="E23" s="10">
        <f t="shared" si="25"/>
        <v>0.01301411929</v>
      </c>
      <c r="F23" s="2"/>
      <c r="H23" s="19"/>
      <c r="I23" s="19"/>
      <c r="J23" s="19"/>
      <c r="K23" s="19"/>
      <c r="L23" s="19"/>
      <c r="M23" s="19"/>
    </row>
    <row r="24">
      <c r="A24" s="13">
        <f t="shared" si="23"/>
        <v>3</v>
      </c>
      <c r="B24" s="13">
        <f t="shared" si="24"/>
        <v>3.208219803</v>
      </c>
      <c r="C24" s="13">
        <f t="shared" si="21"/>
        <v>0.00000001112685055</v>
      </c>
      <c r="D24" s="13">
        <f t="shared" si="22"/>
        <v>20.4610937</v>
      </c>
      <c r="E24" s="10">
        <f t="shared" si="25"/>
        <v>0.00004515172208</v>
      </c>
      <c r="F24" s="2"/>
      <c r="H24" s="18" t="s">
        <v>23</v>
      </c>
      <c r="I24" s="19"/>
      <c r="J24" s="19"/>
      <c r="K24" s="19"/>
      <c r="L24" s="19"/>
      <c r="M24" s="19"/>
    </row>
    <row r="25">
      <c r="A25" s="13">
        <f t="shared" si="23"/>
        <v>4</v>
      </c>
      <c r="B25" s="17">
        <f t="shared" si="24"/>
        <v>3.208219802</v>
      </c>
      <c r="C25" s="13">
        <f t="shared" si="21"/>
        <v>0</v>
      </c>
      <c r="D25" s="13">
        <f t="shared" si="22"/>
        <v>20.4610937</v>
      </c>
      <c r="E25" s="10">
        <f t="shared" si="25"/>
        <v>0.0000000005438054451</v>
      </c>
      <c r="F25" s="2"/>
      <c r="H25" s="20" t="s">
        <v>19</v>
      </c>
      <c r="I25" s="20">
        <v>0.3</v>
      </c>
      <c r="J25" s="19"/>
      <c r="K25" s="19"/>
      <c r="L25" s="19"/>
      <c r="M25" s="19"/>
    </row>
    <row r="26">
      <c r="A26" s="2"/>
      <c r="B26" s="2"/>
      <c r="C26" s="2"/>
      <c r="D26" s="2"/>
      <c r="E26" s="2"/>
      <c r="F26" s="2"/>
      <c r="H26" s="20" t="s">
        <v>5</v>
      </c>
      <c r="I26" s="20">
        <v>1.0E-6</v>
      </c>
      <c r="J26" s="19"/>
      <c r="K26" s="19"/>
      <c r="L26" s="19"/>
      <c r="M26" s="19"/>
    </row>
    <row r="27">
      <c r="H27" s="19"/>
      <c r="I27" s="19"/>
      <c r="J27" s="19"/>
      <c r="K27" s="19"/>
      <c r="L27" s="19"/>
      <c r="M27" s="19"/>
    </row>
    <row r="28">
      <c r="H28" s="21" t="s">
        <v>6</v>
      </c>
      <c r="I28" s="21" t="s">
        <v>20</v>
      </c>
      <c r="J28" s="21" t="s">
        <v>21</v>
      </c>
      <c r="K28" s="21" t="s">
        <v>22</v>
      </c>
      <c r="L28" s="21" t="s">
        <v>14</v>
      </c>
      <c r="M28" s="19"/>
    </row>
    <row r="29">
      <c r="H29" s="21">
        <v>0.0</v>
      </c>
      <c r="I29" s="22">
        <f>$I$25</f>
        <v>0.3</v>
      </c>
      <c r="J29" s="22">
        <f t="shared" ref="J29:J33" si="26">I29^3-I29^2*EXP(-0.5*I29)-3*I29+1</f>
        <v>0.04953628212</v>
      </c>
      <c r="K29" s="22">
        <f t="shared" ref="K29:K33" si="27">3*I29^2-2*I29*EXP(-0.5*I29)+0.5*I29^2*EXP(-0.5*I29)-3</f>
        <v>-3.207692927</v>
      </c>
      <c r="L29" s="22"/>
      <c r="M29" s="19"/>
    </row>
    <row r="30">
      <c r="H30" s="22">
        <f t="shared" ref="H30:H33" si="28">H29+1</f>
        <v>1</v>
      </c>
      <c r="I30" s="22">
        <f t="shared" ref="I30:I33" si="29">I29-J29/K29</f>
        <v>0.3154429627</v>
      </c>
      <c r="J30" s="22">
        <f t="shared" si="26"/>
        <v>0.00007367169657</v>
      </c>
      <c r="K30" s="22">
        <f t="shared" si="27"/>
        <v>-3.197826396</v>
      </c>
      <c r="L30" s="26">
        <f t="shared" ref="L30:L33" si="30">ABS(I30-I29)</f>
        <v>0.01544296267</v>
      </c>
      <c r="M30" s="19"/>
    </row>
    <row r="31">
      <c r="H31" s="22">
        <f t="shared" si="28"/>
        <v>2</v>
      </c>
      <c r="I31" s="22">
        <f t="shared" si="29"/>
        <v>0.3154660007</v>
      </c>
      <c r="J31" s="22">
        <f t="shared" si="26"/>
        <v>0.0000000001863286192</v>
      </c>
      <c r="K31" s="22">
        <f t="shared" si="27"/>
        <v>-3.197810219</v>
      </c>
      <c r="L31" s="26">
        <f t="shared" si="30"/>
        <v>0.00002303805381</v>
      </c>
      <c r="M31" s="19"/>
    </row>
    <row r="32">
      <c r="H32" s="22">
        <f t="shared" si="28"/>
        <v>3</v>
      </c>
      <c r="I32" s="22">
        <f t="shared" si="29"/>
        <v>0.3154660008</v>
      </c>
      <c r="J32" s="22">
        <f t="shared" si="26"/>
        <v>0</v>
      </c>
      <c r="K32" s="22">
        <f t="shared" si="27"/>
        <v>-3.197810219</v>
      </c>
      <c r="L32" s="26">
        <f t="shared" si="30"/>
        <v>0</v>
      </c>
      <c r="M32" s="19"/>
    </row>
    <row r="33">
      <c r="H33" s="22">
        <f t="shared" si="28"/>
        <v>4</v>
      </c>
      <c r="I33" s="17">
        <f t="shared" si="29"/>
        <v>0.3154660008</v>
      </c>
      <c r="J33" s="22">
        <f t="shared" si="26"/>
        <v>0</v>
      </c>
      <c r="K33" s="22">
        <f t="shared" si="27"/>
        <v>-3.197810219</v>
      </c>
      <c r="L33" s="26">
        <f t="shared" si="30"/>
        <v>0</v>
      </c>
      <c r="M33" s="19"/>
    </row>
    <row r="34">
      <c r="H34" s="19"/>
      <c r="I34" s="19"/>
      <c r="J34" s="19"/>
      <c r="K34" s="19"/>
      <c r="L34" s="19"/>
      <c r="M34" s="19"/>
    </row>
    <row r="35">
      <c r="H35" s="18" t="s">
        <v>23</v>
      </c>
      <c r="I35" s="19"/>
      <c r="J35" s="19"/>
      <c r="K35" s="19"/>
      <c r="L35" s="19"/>
      <c r="M35" s="19"/>
    </row>
    <row r="36">
      <c r="H36" s="20" t="s">
        <v>19</v>
      </c>
      <c r="I36" s="20">
        <v>1.8</v>
      </c>
      <c r="J36" s="19"/>
      <c r="K36" s="19"/>
      <c r="L36" s="19"/>
      <c r="M36" s="19"/>
    </row>
    <row r="37">
      <c r="H37" s="20" t="s">
        <v>5</v>
      </c>
      <c r="I37" s="20">
        <v>1.0E-6</v>
      </c>
      <c r="J37" s="19"/>
      <c r="K37" s="19"/>
      <c r="L37" s="19"/>
      <c r="M37" s="19"/>
    </row>
    <row r="38">
      <c r="H38" s="19"/>
      <c r="I38" s="19"/>
      <c r="J38" s="19"/>
      <c r="K38" s="19"/>
      <c r="L38" s="19"/>
      <c r="M38" s="19"/>
    </row>
    <row r="39">
      <c r="H39" s="21" t="s">
        <v>6</v>
      </c>
      <c r="I39" s="21" t="s">
        <v>20</v>
      </c>
      <c r="J39" s="21" t="s">
        <v>21</v>
      </c>
      <c r="K39" s="21" t="s">
        <v>22</v>
      </c>
      <c r="L39" s="21" t="s">
        <v>14</v>
      </c>
      <c r="M39" s="19"/>
    </row>
    <row r="40">
      <c r="H40" s="21">
        <v>0.0</v>
      </c>
      <c r="I40" s="22">
        <f>$I$36</f>
        <v>1.8</v>
      </c>
      <c r="J40" s="22">
        <f t="shared" ref="J40:J44" si="31">I40^3-I40^2*EXP(-0.5*I40)-3*I40+1</f>
        <v>0.1147143024</v>
      </c>
      <c r="K40" s="22">
        <f t="shared" ref="K40:K44" si="32">3*I40^2-2*I40*EXP(-0.5*I40)+0.5*I40^2*EXP(-0.5*I40)-3</f>
        <v>5.914992074</v>
      </c>
      <c r="L40" s="22"/>
      <c r="M40" s="19"/>
    </row>
    <row r="41">
      <c r="H41" s="22">
        <f t="shared" ref="H41:H44" si="33">H40+1</f>
        <v>1</v>
      </c>
      <c r="I41" s="22">
        <f t="shared" ref="I41:I44" si="34">I40-J40/K40</f>
        <v>1.780606178</v>
      </c>
      <c r="J41" s="22">
        <f t="shared" si="31"/>
        <v>0.002083806553</v>
      </c>
      <c r="K41" s="22">
        <f t="shared" si="32"/>
        <v>5.700492657</v>
      </c>
      <c r="L41" s="26">
        <f t="shared" ref="L41:L44" si="35">ABS(I41-I40)</f>
        <v>0.01939382184</v>
      </c>
      <c r="M41" s="19"/>
    </row>
    <row r="42">
      <c r="H42" s="22">
        <f t="shared" si="33"/>
        <v>2</v>
      </c>
      <c r="I42" s="22">
        <f t="shared" si="34"/>
        <v>1.78024063</v>
      </c>
      <c r="J42" s="22">
        <f t="shared" si="31"/>
        <v>0.0000007348340141</v>
      </c>
      <c r="K42" s="22">
        <f t="shared" si="32"/>
        <v>5.696472352</v>
      </c>
      <c r="L42" s="26">
        <f t="shared" si="35"/>
        <v>0.0003655485023</v>
      </c>
      <c r="M42" s="19"/>
    </row>
    <row r="43">
      <c r="H43" s="22">
        <f t="shared" si="33"/>
        <v>3</v>
      </c>
      <c r="I43" s="22">
        <f t="shared" si="34"/>
        <v>1.780240501</v>
      </c>
      <c r="J43" s="22">
        <f t="shared" si="31"/>
        <v>0</v>
      </c>
      <c r="K43" s="22">
        <f t="shared" si="32"/>
        <v>5.696470933</v>
      </c>
      <c r="L43" s="26">
        <f t="shared" si="35"/>
        <v>0.0000001289980831</v>
      </c>
      <c r="M43" s="19"/>
    </row>
    <row r="44">
      <c r="H44" s="22">
        <f t="shared" si="33"/>
        <v>4</v>
      </c>
      <c r="I44" s="17">
        <f t="shared" si="34"/>
        <v>1.780240501</v>
      </c>
      <c r="J44" s="22">
        <f t="shared" si="31"/>
        <v>0</v>
      </c>
      <c r="K44" s="22">
        <f t="shared" si="32"/>
        <v>5.696470933</v>
      </c>
      <c r="L44" s="26">
        <f t="shared" si="35"/>
        <v>0</v>
      </c>
      <c r="M44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2"/>
      <c r="C1" s="2"/>
      <c r="D1" s="2"/>
      <c r="E1" s="2"/>
      <c r="F1" s="2"/>
      <c r="G1" s="2"/>
      <c r="H1" s="2"/>
      <c r="J1" s="3" t="s">
        <v>25</v>
      </c>
      <c r="K1" s="4"/>
      <c r="L1" s="4"/>
      <c r="M1" s="4"/>
      <c r="N1" s="4"/>
      <c r="O1" s="4"/>
      <c r="P1" s="4"/>
      <c r="Q1" s="4"/>
      <c r="S1" s="5" t="s">
        <v>26</v>
      </c>
      <c r="T1" s="6"/>
      <c r="U1" s="6"/>
      <c r="V1" s="6"/>
      <c r="W1" s="6"/>
      <c r="X1" s="6"/>
      <c r="Y1" s="6"/>
      <c r="Z1" s="6"/>
    </row>
    <row r="2">
      <c r="A2" s="7" t="s">
        <v>19</v>
      </c>
      <c r="B2" s="7">
        <v>7.0</v>
      </c>
      <c r="C2" s="2"/>
      <c r="D2" s="2"/>
      <c r="E2" s="2"/>
      <c r="F2" s="2"/>
      <c r="G2" s="2"/>
      <c r="H2" s="2"/>
      <c r="J2" s="8" t="s">
        <v>19</v>
      </c>
      <c r="K2" s="8">
        <v>5.0</v>
      </c>
      <c r="L2" s="4"/>
      <c r="M2" s="4"/>
      <c r="N2" s="4"/>
      <c r="O2" s="4"/>
      <c r="P2" s="4"/>
      <c r="Q2" s="4"/>
      <c r="S2" s="9" t="s">
        <v>19</v>
      </c>
      <c r="T2" s="9">
        <v>3.0</v>
      </c>
      <c r="U2" s="6"/>
      <c r="V2" s="6"/>
      <c r="W2" s="6"/>
      <c r="X2" s="6"/>
      <c r="Y2" s="6"/>
      <c r="Z2" s="6"/>
    </row>
    <row r="3">
      <c r="A3" s="7" t="s">
        <v>27</v>
      </c>
      <c r="B3" s="7">
        <v>8.0</v>
      </c>
      <c r="C3" s="2"/>
      <c r="D3" s="2"/>
      <c r="E3" s="2"/>
      <c r="F3" s="2"/>
      <c r="G3" s="2"/>
      <c r="H3" s="2"/>
      <c r="J3" s="8" t="s">
        <v>27</v>
      </c>
      <c r="K3" s="8">
        <v>6.0</v>
      </c>
      <c r="L3" s="4"/>
      <c r="M3" s="4"/>
      <c r="N3" s="4"/>
      <c r="O3" s="4"/>
      <c r="P3" s="4"/>
      <c r="Q3" s="4"/>
      <c r="S3" s="9" t="s">
        <v>27</v>
      </c>
      <c r="T3" s="9">
        <v>4.0</v>
      </c>
      <c r="U3" s="6"/>
      <c r="V3" s="6"/>
      <c r="W3" s="6"/>
      <c r="X3" s="6"/>
      <c r="Y3" s="6"/>
      <c r="Z3" s="6"/>
    </row>
    <row r="4">
      <c r="A4" s="7" t="s">
        <v>5</v>
      </c>
      <c r="B4" s="7">
        <v>1.0E-6</v>
      </c>
      <c r="C4" s="2"/>
      <c r="D4" s="2"/>
      <c r="E4" s="2"/>
      <c r="F4" s="2"/>
      <c r="G4" s="2"/>
      <c r="H4" s="2"/>
      <c r="J4" s="8" t="s">
        <v>5</v>
      </c>
      <c r="K4" s="8">
        <v>1.0E-6</v>
      </c>
      <c r="L4" s="4"/>
      <c r="M4" s="4"/>
      <c r="N4" s="4"/>
      <c r="O4" s="4"/>
      <c r="P4" s="4"/>
      <c r="Q4" s="4"/>
      <c r="S4" s="9" t="s">
        <v>5</v>
      </c>
      <c r="T4" s="9">
        <v>1.0E-6</v>
      </c>
      <c r="U4" s="6"/>
      <c r="V4" s="6"/>
      <c r="W4" s="6"/>
      <c r="X4" s="6"/>
      <c r="Y4" s="6"/>
      <c r="Z4" s="6"/>
    </row>
    <row r="5">
      <c r="A5" s="2"/>
      <c r="B5" s="2"/>
      <c r="C5" s="2"/>
      <c r="D5" s="2"/>
      <c r="E5" s="2"/>
      <c r="F5" s="2"/>
      <c r="G5" s="2"/>
      <c r="H5" s="2"/>
      <c r="J5" s="4"/>
      <c r="K5" s="4"/>
      <c r="L5" s="4"/>
      <c r="M5" s="4"/>
      <c r="N5" s="4"/>
      <c r="O5" s="4"/>
      <c r="P5" s="4"/>
      <c r="Q5" s="4"/>
      <c r="S5" s="6"/>
      <c r="T5" s="6"/>
      <c r="U5" s="6"/>
      <c r="V5" s="6"/>
      <c r="W5" s="6"/>
      <c r="X5" s="6"/>
      <c r="Y5" s="6"/>
      <c r="Z5" s="6"/>
    </row>
    <row r="6">
      <c r="A6" s="10" t="s">
        <v>6</v>
      </c>
      <c r="B6" s="10" t="s">
        <v>28</v>
      </c>
      <c r="C6" s="10" t="s">
        <v>20</v>
      </c>
      <c r="D6" s="10" t="s">
        <v>29</v>
      </c>
      <c r="E6" s="10" t="s">
        <v>21</v>
      </c>
      <c r="F6" s="10" t="s">
        <v>30</v>
      </c>
      <c r="G6" s="10" t="s">
        <v>14</v>
      </c>
      <c r="H6" s="2"/>
      <c r="J6" s="11" t="s">
        <v>6</v>
      </c>
      <c r="K6" s="11" t="s">
        <v>28</v>
      </c>
      <c r="L6" s="11" t="s">
        <v>20</v>
      </c>
      <c r="M6" s="11" t="s">
        <v>29</v>
      </c>
      <c r="N6" s="11" t="s">
        <v>21</v>
      </c>
      <c r="O6" s="11" t="s">
        <v>30</v>
      </c>
      <c r="P6" s="11" t="s">
        <v>14</v>
      </c>
      <c r="Q6" s="4"/>
      <c r="S6" s="12" t="s">
        <v>6</v>
      </c>
      <c r="T6" s="12" t="s">
        <v>28</v>
      </c>
      <c r="U6" s="12" t="s">
        <v>20</v>
      </c>
      <c r="V6" s="12" t="s">
        <v>29</v>
      </c>
      <c r="W6" s="12" t="s">
        <v>21</v>
      </c>
      <c r="X6" s="12" t="s">
        <v>30</v>
      </c>
      <c r="Y6" s="12" t="s">
        <v>14</v>
      </c>
      <c r="Z6" s="6"/>
    </row>
    <row r="7">
      <c r="A7" s="10">
        <v>1.0</v>
      </c>
      <c r="B7" s="13">
        <f>$B$2</f>
        <v>7</v>
      </c>
      <c r="C7" s="13">
        <f>$B$3</f>
        <v>8</v>
      </c>
      <c r="D7" s="13">
        <f t="shared" ref="D7:E7" si="1">B7^3-EXP(0.8*B7)-20</f>
        <v>52.57359257</v>
      </c>
      <c r="E7" s="13">
        <f t="shared" si="1"/>
        <v>-109.8450379</v>
      </c>
      <c r="F7" s="13">
        <f t="shared" ref="F7:F14" si="5">C7-E7*(C7-B7)/(E7-D7)</f>
        <v>7.323691885</v>
      </c>
      <c r="G7" s="13">
        <f t="shared" ref="G7:G14" si="6">ABS(F7-C7)</f>
        <v>0.6763081155</v>
      </c>
      <c r="H7" s="2"/>
      <c r="J7" s="11">
        <v>1.0</v>
      </c>
      <c r="K7" s="14">
        <f>$K$2</f>
        <v>5</v>
      </c>
      <c r="L7" s="14">
        <f>$K$3</f>
        <v>6</v>
      </c>
      <c r="M7" s="14">
        <f t="shared" ref="M7:N7" si="2">3*SIN(0.5*K7)-0.5*K7+2</f>
        <v>1.295416432</v>
      </c>
      <c r="N7" s="14">
        <f t="shared" si="2"/>
        <v>-0.5766399758</v>
      </c>
      <c r="O7" s="14">
        <f t="shared" ref="O7:O11" si="8">L7-N7*(L7-K7)/(N7-M7)</f>
        <v>5.691975106</v>
      </c>
      <c r="P7" s="14">
        <f t="shared" ref="P7:P11" si="9">ABS(O7-L7)</f>
        <v>0.3080248935</v>
      </c>
      <c r="Q7" s="4"/>
      <c r="S7" s="12">
        <v>1.0</v>
      </c>
      <c r="T7" s="15">
        <f>$T$2</f>
        <v>3</v>
      </c>
      <c r="U7" s="15">
        <f>$T$3</f>
        <v>4</v>
      </c>
      <c r="V7" s="15">
        <f t="shared" ref="V7:W7" si="3">COS(T7)^2-0.5*T7*EXP(0.3*T7)+5</f>
        <v>2.290680477</v>
      </c>
      <c r="W7" s="15">
        <f t="shared" si="3"/>
        <v>-1.212983862</v>
      </c>
      <c r="X7" s="15">
        <f t="shared" ref="X7:X12" si="11">U7-W7*(U7-T7)/(W7-V7)</f>
        <v>3.653795642</v>
      </c>
      <c r="Y7" s="15">
        <f t="shared" ref="Y7:Y12" si="12">ABS(X7-U7)</f>
        <v>0.3462043578</v>
      </c>
      <c r="Z7" s="6"/>
    </row>
    <row r="8">
      <c r="A8" s="13">
        <f t="shared" ref="A8:A14" si="13">A7+1</f>
        <v>2</v>
      </c>
      <c r="B8" s="13">
        <f t="shared" ref="B8:B14" si="14">C7</f>
        <v>8</v>
      </c>
      <c r="C8" s="13">
        <f t="shared" ref="C8:C14" si="15">F7</f>
        <v>7.323691885</v>
      </c>
      <c r="D8" s="13">
        <f t="shared" ref="D8:E8" si="4">B8^3-EXP(0.8*B8)-20</f>
        <v>-109.8450379</v>
      </c>
      <c r="E8" s="13">
        <f t="shared" si="4"/>
        <v>22.45962161</v>
      </c>
      <c r="F8" s="13">
        <f t="shared" si="5"/>
        <v>7.438499817</v>
      </c>
      <c r="G8" s="13">
        <f t="shared" si="6"/>
        <v>0.1148079321</v>
      </c>
      <c r="H8" s="2"/>
      <c r="J8" s="14">
        <f t="shared" ref="J8:J11" si="17">J7+1</f>
        <v>2</v>
      </c>
      <c r="K8" s="14">
        <f t="shared" ref="K8:K11" si="18">L7</f>
        <v>6</v>
      </c>
      <c r="L8" s="14">
        <f t="shared" ref="L8:L11" si="19">O7</f>
        <v>5.691975106</v>
      </c>
      <c r="M8" s="14">
        <f t="shared" ref="M8:N8" si="7">3*SIN(0.5*K8)-0.5*K8+2</f>
        <v>-0.5766399758</v>
      </c>
      <c r="N8" s="14">
        <f t="shared" si="7"/>
        <v>0.02796872132</v>
      </c>
      <c r="O8" s="14">
        <f t="shared" si="8"/>
        <v>5.706224095</v>
      </c>
      <c r="P8" s="14">
        <f t="shared" si="9"/>
        <v>0.01424898856</v>
      </c>
      <c r="Q8" s="4"/>
      <c r="S8" s="15">
        <f t="shared" ref="S8:S12" si="21">S7+1</f>
        <v>2</v>
      </c>
      <c r="T8" s="15">
        <f t="shared" ref="T8:T12" si="22">U7</f>
        <v>4</v>
      </c>
      <c r="U8" s="15">
        <f t="shared" ref="U8:U12" si="23">X7</f>
        <v>3.653795642</v>
      </c>
      <c r="V8" s="15">
        <f t="shared" ref="V8:W8" si="10">COS(T8)^2-0.5*T8*EXP(0.3*T8)+5</f>
        <v>-1.212983862</v>
      </c>
      <c r="W8" s="15">
        <f t="shared" si="10"/>
        <v>0.2926500621</v>
      </c>
      <c r="X8" s="15">
        <f t="shared" si="11"/>
        <v>3.721087382</v>
      </c>
      <c r="Y8" s="15">
        <f t="shared" si="12"/>
        <v>0.06729174015</v>
      </c>
      <c r="Z8" s="6"/>
    </row>
    <row r="9">
      <c r="A9" s="13">
        <f t="shared" si="13"/>
        <v>3</v>
      </c>
      <c r="B9" s="13">
        <f t="shared" si="14"/>
        <v>7.323691885</v>
      </c>
      <c r="C9" s="13">
        <f t="shared" si="15"/>
        <v>7.438499817</v>
      </c>
      <c r="D9" s="13">
        <f t="shared" ref="D9:E9" si="16">B9^3-EXP(0.8*B9)-20</f>
        <v>22.45962161</v>
      </c>
      <c r="E9" s="13">
        <f t="shared" si="16"/>
        <v>7.521304349</v>
      </c>
      <c r="F9" s="13">
        <f t="shared" si="5"/>
        <v>7.496304547</v>
      </c>
      <c r="G9" s="13">
        <f t="shared" si="6"/>
        <v>0.05780473022</v>
      </c>
      <c r="H9" s="2"/>
      <c r="J9" s="14">
        <f t="shared" si="17"/>
        <v>3</v>
      </c>
      <c r="K9" s="14">
        <f t="shared" si="18"/>
        <v>5.691975106</v>
      </c>
      <c r="L9" s="14">
        <f t="shared" si="19"/>
        <v>5.706224095</v>
      </c>
      <c r="M9" s="14">
        <f t="shared" ref="M9:N9" si="20">3*SIN(0.5*K9)-0.5*K9+2</f>
        <v>0.02796872132</v>
      </c>
      <c r="N9" s="14">
        <f t="shared" si="20"/>
        <v>0.0003757895328</v>
      </c>
      <c r="O9" s="14">
        <f t="shared" si="8"/>
        <v>5.706418153</v>
      </c>
      <c r="P9" s="14">
        <f t="shared" si="9"/>
        <v>0.0001940576954</v>
      </c>
      <c r="Q9" s="4"/>
      <c r="S9" s="15">
        <f t="shared" si="21"/>
        <v>3</v>
      </c>
      <c r="T9" s="15">
        <f t="shared" si="22"/>
        <v>3.653795642</v>
      </c>
      <c r="U9" s="15">
        <f t="shared" si="23"/>
        <v>3.721087382</v>
      </c>
      <c r="V9" s="15">
        <f t="shared" ref="V9:W9" si="24">COS(T9)^2-0.5*T9*EXP(0.3*T9)+5</f>
        <v>0.2926500621</v>
      </c>
      <c r="W9" s="15">
        <f t="shared" si="24"/>
        <v>0.01874831864</v>
      </c>
      <c r="X9" s="15">
        <f t="shared" si="11"/>
        <v>3.725693439</v>
      </c>
      <c r="Y9" s="15">
        <f t="shared" si="12"/>
        <v>0.004606056793</v>
      </c>
      <c r="Z9" s="6"/>
    </row>
    <row r="10">
      <c r="A10" s="13">
        <f t="shared" si="13"/>
        <v>4</v>
      </c>
      <c r="B10" s="13">
        <f t="shared" si="14"/>
        <v>7.438499817</v>
      </c>
      <c r="C10" s="13">
        <f t="shared" si="15"/>
        <v>7.496304547</v>
      </c>
      <c r="D10" s="13">
        <f t="shared" ref="D10:E10" si="25">B10^3-EXP(0.8*B10)-20</f>
        <v>7.521304349</v>
      </c>
      <c r="E10" s="13">
        <f t="shared" si="25"/>
        <v>-0.9861734968</v>
      </c>
      <c r="F10" s="13">
        <f t="shared" si="5"/>
        <v>7.489603913</v>
      </c>
      <c r="G10" s="13">
        <f t="shared" si="6"/>
        <v>0.006700633721</v>
      </c>
      <c r="H10" s="2"/>
      <c r="J10" s="14">
        <f t="shared" si="17"/>
        <v>4</v>
      </c>
      <c r="K10" s="14">
        <f t="shared" si="18"/>
        <v>5.706224095</v>
      </c>
      <c r="L10" s="14">
        <f t="shared" si="19"/>
        <v>5.706418153</v>
      </c>
      <c r="M10" s="14">
        <f t="shared" ref="M10:N10" si="26">3*SIN(0.5*K10)-0.5*K10+2</f>
        <v>0.0003757895328</v>
      </c>
      <c r="N10" s="14">
        <f t="shared" si="26"/>
        <v>-0.0000003013768524</v>
      </c>
      <c r="O10" s="14">
        <f t="shared" si="8"/>
        <v>5.706417997</v>
      </c>
      <c r="P10" s="14">
        <f t="shared" si="9"/>
        <v>0.0000001555062781</v>
      </c>
      <c r="Q10" s="4"/>
      <c r="S10" s="15">
        <f t="shared" si="21"/>
        <v>4</v>
      </c>
      <c r="T10" s="15">
        <f t="shared" si="22"/>
        <v>3.721087382</v>
      </c>
      <c r="U10" s="15">
        <f t="shared" si="23"/>
        <v>3.725693439</v>
      </c>
      <c r="V10" s="15">
        <f t="shared" ref="V10:W10" si="27">COS(T10)^2-0.5*T10*EXP(0.3*T10)+5</f>
        <v>0.01874831864</v>
      </c>
      <c r="W10" s="15">
        <f t="shared" si="27"/>
        <v>-0.0003794474322</v>
      </c>
      <c r="X10" s="15">
        <f t="shared" si="11"/>
        <v>3.725602066</v>
      </c>
      <c r="Y10" s="15">
        <f t="shared" si="12"/>
        <v>0.00009137274139</v>
      </c>
      <c r="Z10" s="6"/>
    </row>
    <row r="11">
      <c r="A11" s="13">
        <f t="shared" si="13"/>
        <v>5</v>
      </c>
      <c r="B11" s="13">
        <f t="shared" si="14"/>
        <v>7.496304547</v>
      </c>
      <c r="C11" s="13">
        <f t="shared" si="15"/>
        <v>7.489603913</v>
      </c>
      <c r="D11" s="13">
        <f t="shared" ref="D11:E11" si="28">B11^3-EXP(0.8*B11)-20</f>
        <v>-0.9861734968</v>
      </c>
      <c r="E11" s="13">
        <f t="shared" si="28"/>
        <v>0.03564806767</v>
      </c>
      <c r="F11" s="13">
        <f t="shared" si="5"/>
        <v>7.489837677</v>
      </c>
      <c r="G11" s="13">
        <f t="shared" si="6"/>
        <v>0.0002337635578</v>
      </c>
      <c r="H11" s="2"/>
      <c r="J11" s="14">
        <f t="shared" si="17"/>
        <v>5</v>
      </c>
      <c r="K11" s="14">
        <f t="shared" si="18"/>
        <v>5.706418153</v>
      </c>
      <c r="L11" s="14">
        <f t="shared" si="19"/>
        <v>5.706417997</v>
      </c>
      <c r="M11" s="14">
        <f t="shared" ref="M11:N11" si="29">3*SIN(0.5*K11)-0.5*K11+2</f>
        <v>-0.0000003013768524</v>
      </c>
      <c r="N11" s="14">
        <f t="shared" si="29"/>
        <v>0</v>
      </c>
      <c r="O11" s="17">
        <f t="shared" si="8"/>
        <v>5.706417997</v>
      </c>
      <c r="P11" s="14">
        <f t="shared" si="9"/>
        <v>0</v>
      </c>
      <c r="Q11" s="4"/>
      <c r="S11" s="15">
        <f t="shared" si="21"/>
        <v>5</v>
      </c>
      <c r="T11" s="15">
        <f t="shared" si="22"/>
        <v>3.725693439</v>
      </c>
      <c r="U11" s="15">
        <f t="shared" si="23"/>
        <v>3.725602066</v>
      </c>
      <c r="V11" s="15">
        <f t="shared" ref="V11:W11" si="30">COS(T11)^2-0.5*T11*EXP(0.3*T11)+5</f>
        <v>-0.0003794474322</v>
      </c>
      <c r="W11" s="15">
        <f t="shared" si="30"/>
        <v>0.0000004575869035</v>
      </c>
      <c r="X11" s="15">
        <f t="shared" si="11"/>
        <v>3.725602176</v>
      </c>
      <c r="Y11" s="15">
        <f t="shared" si="12"/>
        <v>0.0000001100563765</v>
      </c>
      <c r="Z11" s="6"/>
    </row>
    <row r="12">
      <c r="A12" s="13">
        <f t="shared" si="13"/>
        <v>6</v>
      </c>
      <c r="B12" s="13">
        <f t="shared" si="14"/>
        <v>7.489603913</v>
      </c>
      <c r="C12" s="13">
        <f t="shared" si="15"/>
        <v>7.489837677</v>
      </c>
      <c r="D12" s="13">
        <f t="shared" ref="D12:E12" si="31">B12^3-EXP(0.8*B12)-20</f>
        <v>0.03564806767</v>
      </c>
      <c r="E12" s="13">
        <f t="shared" si="31"/>
        <v>0.0001599236494</v>
      </c>
      <c r="F12" s="13">
        <f t="shared" si="5"/>
        <v>7.48983873</v>
      </c>
      <c r="G12" s="13">
        <f t="shared" si="6"/>
        <v>0.000001053431288</v>
      </c>
      <c r="H12" s="2"/>
      <c r="J12" s="4"/>
      <c r="K12" s="4"/>
      <c r="L12" s="4"/>
      <c r="M12" s="4"/>
      <c r="N12" s="4"/>
      <c r="O12" s="4"/>
      <c r="P12" s="4"/>
      <c r="Q12" s="4"/>
      <c r="S12" s="15">
        <f t="shared" si="21"/>
        <v>6</v>
      </c>
      <c r="T12" s="15">
        <f t="shared" si="22"/>
        <v>3.725602066</v>
      </c>
      <c r="U12" s="15">
        <f t="shared" si="23"/>
        <v>3.725602176</v>
      </c>
      <c r="V12" s="15">
        <f t="shared" ref="V12:W12" si="32">COS(T12)^2-0.5*T12*EXP(0.3*T12)+5</f>
        <v>0.0000004575869035</v>
      </c>
      <c r="W12" s="15">
        <f t="shared" si="32"/>
        <v>0</v>
      </c>
      <c r="X12" s="17">
        <f t="shared" si="11"/>
        <v>3.725602176</v>
      </c>
      <c r="Y12" s="15">
        <f t="shared" si="12"/>
        <v>0</v>
      </c>
      <c r="Z12" s="6"/>
    </row>
    <row r="13">
      <c r="A13" s="13">
        <f t="shared" si="13"/>
        <v>7</v>
      </c>
      <c r="B13" s="13">
        <f t="shared" si="14"/>
        <v>7.489837677</v>
      </c>
      <c r="C13" s="13">
        <f t="shared" si="15"/>
        <v>7.48983873</v>
      </c>
      <c r="D13" s="13">
        <f t="shared" ref="D13:E13" si="33">B13^3-EXP(0.8*B13)-20</f>
        <v>0.0001599236494</v>
      </c>
      <c r="E13" s="13">
        <f t="shared" si="33"/>
        <v>-0.00000002611568561</v>
      </c>
      <c r="F13" s="13">
        <f t="shared" si="5"/>
        <v>7.48983873</v>
      </c>
      <c r="G13" s="13">
        <f t="shared" si="6"/>
        <v>0.0000000001719984155</v>
      </c>
      <c r="H13" s="2"/>
      <c r="S13" s="6"/>
      <c r="T13" s="6"/>
      <c r="U13" s="6"/>
      <c r="V13" s="6"/>
      <c r="W13" s="6"/>
      <c r="X13" s="6"/>
      <c r="Y13" s="6"/>
      <c r="Z13" s="6"/>
    </row>
    <row r="14">
      <c r="A14" s="13">
        <f t="shared" si="13"/>
        <v>8</v>
      </c>
      <c r="B14" s="13">
        <f t="shared" si="14"/>
        <v>7.48983873</v>
      </c>
      <c r="C14" s="13">
        <f t="shared" si="15"/>
        <v>7.48983873</v>
      </c>
      <c r="D14" s="13">
        <f t="shared" ref="D14:E14" si="34">B14^3-EXP(0.8*B14)-20</f>
        <v>-0.00000002611568561</v>
      </c>
      <c r="E14" s="13">
        <f t="shared" si="34"/>
        <v>0</v>
      </c>
      <c r="F14" s="17">
        <f t="shared" si="5"/>
        <v>7.48983873</v>
      </c>
      <c r="G14" s="13">
        <f t="shared" si="6"/>
        <v>0</v>
      </c>
      <c r="H14" s="2"/>
      <c r="J14" s="27" t="s">
        <v>31</v>
      </c>
      <c r="K14" s="28"/>
      <c r="L14" s="28"/>
      <c r="M14" s="28"/>
      <c r="N14" s="28"/>
      <c r="O14" s="28"/>
      <c r="P14" s="28"/>
      <c r="Q14" s="28"/>
    </row>
    <row r="15">
      <c r="A15" s="2"/>
      <c r="B15" s="2"/>
      <c r="C15" s="2"/>
      <c r="D15" s="2"/>
      <c r="E15" s="2"/>
      <c r="F15" s="2"/>
      <c r="G15" s="2"/>
      <c r="H15" s="2"/>
      <c r="J15" s="29" t="s">
        <v>19</v>
      </c>
      <c r="K15" s="29">
        <v>-1.5</v>
      </c>
      <c r="L15" s="28"/>
      <c r="M15" s="28"/>
      <c r="N15" s="28"/>
      <c r="O15" s="28"/>
      <c r="P15" s="28"/>
      <c r="Q15" s="28"/>
    </row>
    <row r="16">
      <c r="A16" s="1" t="s">
        <v>24</v>
      </c>
      <c r="B16" s="2"/>
      <c r="C16" s="2"/>
      <c r="D16" s="2"/>
      <c r="E16" s="2"/>
      <c r="F16" s="2"/>
      <c r="G16" s="2"/>
      <c r="H16" s="2"/>
      <c r="J16" s="29" t="s">
        <v>27</v>
      </c>
      <c r="K16" s="29">
        <v>-1.0</v>
      </c>
      <c r="L16" s="28"/>
      <c r="M16" s="28"/>
      <c r="N16" s="28"/>
      <c r="O16" s="28"/>
      <c r="P16" s="28"/>
      <c r="Q16" s="28"/>
    </row>
    <row r="17">
      <c r="A17" s="7" t="s">
        <v>19</v>
      </c>
      <c r="B17" s="7">
        <v>2.0</v>
      </c>
      <c r="C17" s="2"/>
      <c r="D17" s="2"/>
      <c r="E17" s="2"/>
      <c r="F17" s="2"/>
      <c r="G17" s="2"/>
      <c r="H17" s="2"/>
      <c r="J17" s="29" t="s">
        <v>5</v>
      </c>
      <c r="K17" s="29">
        <v>1.0E-6</v>
      </c>
      <c r="L17" s="28"/>
      <c r="M17" s="28"/>
      <c r="N17" s="28"/>
      <c r="O17" s="28"/>
      <c r="P17" s="28"/>
      <c r="Q17" s="28"/>
    </row>
    <row r="18">
      <c r="A18" s="7" t="s">
        <v>27</v>
      </c>
      <c r="B18" s="7">
        <v>4.0</v>
      </c>
      <c r="C18" s="2"/>
      <c r="D18" s="2"/>
      <c r="E18" s="2"/>
      <c r="F18" s="2"/>
      <c r="G18" s="2"/>
      <c r="H18" s="2"/>
      <c r="J18" s="28"/>
      <c r="K18" s="28"/>
      <c r="L18" s="28"/>
      <c r="M18" s="28"/>
      <c r="N18" s="28"/>
      <c r="O18" s="28"/>
      <c r="P18" s="28"/>
      <c r="Q18" s="28"/>
    </row>
    <row r="19">
      <c r="A19" s="7" t="s">
        <v>5</v>
      </c>
      <c r="B19" s="7">
        <v>1.0E-6</v>
      </c>
      <c r="C19" s="2"/>
      <c r="D19" s="2"/>
      <c r="E19" s="2"/>
      <c r="F19" s="2"/>
      <c r="G19" s="2"/>
      <c r="H19" s="2"/>
      <c r="J19" s="30" t="s">
        <v>6</v>
      </c>
      <c r="K19" s="30" t="s">
        <v>28</v>
      </c>
      <c r="L19" s="30" t="s">
        <v>20</v>
      </c>
      <c r="M19" s="30" t="s">
        <v>29</v>
      </c>
      <c r="N19" s="30" t="s">
        <v>21</v>
      </c>
      <c r="O19" s="30" t="s">
        <v>30</v>
      </c>
      <c r="P19" s="30" t="s">
        <v>14</v>
      </c>
      <c r="Q19" s="28"/>
    </row>
    <row r="20">
      <c r="A20" s="2"/>
      <c r="B20" s="2"/>
      <c r="C20" s="2"/>
      <c r="D20" s="2"/>
      <c r="E20" s="2"/>
      <c r="F20" s="2"/>
      <c r="G20" s="2"/>
      <c r="H20" s="2"/>
      <c r="J20" s="30">
        <v>1.0</v>
      </c>
      <c r="K20" s="31">
        <f>$K$15</f>
        <v>-1.5</v>
      </c>
      <c r="L20" s="31">
        <f>$K$16</f>
        <v>-1</v>
      </c>
      <c r="M20" s="31">
        <f t="shared" ref="M20:N20" si="35">K20^3-K20^2*EXP(-0.5*K20)-3*K20+1</f>
        <v>-2.638250037</v>
      </c>
      <c r="N20" s="31">
        <f t="shared" si="35"/>
        <v>1.351278729</v>
      </c>
      <c r="O20" s="31">
        <f t="shared" ref="O20:O26" si="37">L20-N20*(L20-K20)/(N20-M20)</f>
        <v>-1.169353175</v>
      </c>
      <c r="P20" s="31">
        <f t="shared" ref="P20:P26" si="38">ABS(O20-L20)</f>
        <v>0.1693531753</v>
      </c>
      <c r="Q20" s="28"/>
    </row>
    <row r="21">
      <c r="A21" s="10" t="s">
        <v>6</v>
      </c>
      <c r="B21" s="10" t="s">
        <v>28</v>
      </c>
      <c r="C21" s="10" t="s">
        <v>20</v>
      </c>
      <c r="D21" s="10" t="s">
        <v>29</v>
      </c>
      <c r="E21" s="10" t="s">
        <v>21</v>
      </c>
      <c r="F21" s="10" t="s">
        <v>30</v>
      </c>
      <c r="G21" s="10" t="s">
        <v>14</v>
      </c>
      <c r="H21" s="2"/>
      <c r="J21" s="31">
        <f t="shared" ref="J21:J26" si="40">J20+1</f>
        <v>2</v>
      </c>
      <c r="K21" s="31">
        <f t="shared" ref="K21:K26" si="41">L20</f>
        <v>-1</v>
      </c>
      <c r="L21" s="31">
        <f t="shared" ref="L21:L26" si="42">O20</f>
        <v>-1.169353175</v>
      </c>
      <c r="M21" s="31">
        <f t="shared" ref="M21:N21" si="36">K21^3-K21^2*EXP(-0.5*K21)-3*K21+1</f>
        <v>1.351278729</v>
      </c>
      <c r="N21" s="31">
        <f t="shared" si="36"/>
        <v>0.4554479756</v>
      </c>
      <c r="O21" s="31">
        <f t="shared" si="37"/>
        <v>-1.25545377</v>
      </c>
      <c r="P21" s="31">
        <f t="shared" si="38"/>
        <v>0.08610059494</v>
      </c>
      <c r="Q21" s="28"/>
    </row>
    <row r="22">
      <c r="A22" s="10">
        <v>1.0</v>
      </c>
      <c r="B22" s="13">
        <f>$B$17</f>
        <v>2</v>
      </c>
      <c r="C22" s="13">
        <f>$B$18</f>
        <v>4</v>
      </c>
      <c r="D22" s="13">
        <f t="shared" ref="D22:E22" si="39">B22^3-EXP(0.8*B22)-20</f>
        <v>-16.95303242</v>
      </c>
      <c r="E22" s="13">
        <f t="shared" si="39"/>
        <v>19.4674698</v>
      </c>
      <c r="F22" s="13">
        <f t="shared" ref="F22:F29" si="45">C22-E22*(C22-B22)/(E22-D22)</f>
        <v>2.930960936</v>
      </c>
      <c r="G22" s="13">
        <f t="shared" ref="G22:G29" si="46">ABS(F22-C22)</f>
        <v>1.069039064</v>
      </c>
      <c r="H22" s="2"/>
      <c r="J22" s="31">
        <f t="shared" si="40"/>
        <v>3</v>
      </c>
      <c r="K22" s="31">
        <f t="shared" si="41"/>
        <v>-1.169353175</v>
      </c>
      <c r="L22" s="31">
        <f t="shared" si="42"/>
        <v>-1.25545377</v>
      </c>
      <c r="M22" s="31">
        <f t="shared" ref="M22:N22" si="43">K22^3-K22^2*EXP(-0.5*K22)-3*K22+1</f>
        <v>0.4554479756</v>
      </c>
      <c r="N22" s="31">
        <f t="shared" si="43"/>
        <v>-0.1651429895</v>
      </c>
      <c r="O22" s="31">
        <f t="shared" si="37"/>
        <v>-1.232541884</v>
      </c>
      <c r="P22" s="31">
        <f t="shared" si="38"/>
        <v>0.02291188632</v>
      </c>
      <c r="Q22" s="28"/>
    </row>
    <row r="23">
      <c r="A23" s="13">
        <f t="shared" ref="A23:A29" si="48">A22+1</f>
        <v>2</v>
      </c>
      <c r="B23" s="13">
        <f t="shared" ref="B23:B29" si="49">C22</f>
        <v>4</v>
      </c>
      <c r="C23" s="13">
        <f t="shared" ref="C23:C29" si="50">F22</f>
        <v>2.930960936</v>
      </c>
      <c r="D23" s="13">
        <f t="shared" ref="D23:E23" si="44">B23^3-EXP(0.8*B23)-20</f>
        <v>19.4674698</v>
      </c>
      <c r="E23" s="13">
        <f t="shared" si="44"/>
        <v>-5.252346561</v>
      </c>
      <c r="F23" s="13">
        <f t="shared" si="45"/>
        <v>3.158105166</v>
      </c>
      <c r="G23" s="13">
        <f t="shared" si="46"/>
        <v>0.2271442299</v>
      </c>
      <c r="H23" s="2"/>
      <c r="J23" s="31">
        <f t="shared" si="40"/>
        <v>4</v>
      </c>
      <c r="K23" s="31">
        <f t="shared" si="41"/>
        <v>-1.25545377</v>
      </c>
      <c r="L23" s="31">
        <f t="shared" si="42"/>
        <v>-1.232541884</v>
      </c>
      <c r="M23" s="31">
        <f t="shared" ref="M23:N23" si="47">K23^3-K23^2*EXP(-0.5*K23)-3*K23+1</f>
        <v>-0.1651429895</v>
      </c>
      <c r="N23" s="31">
        <f t="shared" si="47"/>
        <v>0.01170103821</v>
      </c>
      <c r="O23" s="31">
        <f t="shared" si="37"/>
        <v>-1.234057869</v>
      </c>
      <c r="P23" s="31">
        <f t="shared" si="38"/>
        <v>0.001515984796</v>
      </c>
      <c r="Q23" s="28"/>
    </row>
    <row r="24">
      <c r="A24" s="13">
        <f t="shared" si="48"/>
        <v>3</v>
      </c>
      <c r="B24" s="13">
        <f t="shared" si="49"/>
        <v>2.930960936</v>
      </c>
      <c r="C24" s="13">
        <f t="shared" si="50"/>
        <v>3.158105166</v>
      </c>
      <c r="D24" s="13">
        <f t="shared" ref="D24:E24" si="51">B24^3-EXP(0.8*B24)-20</f>
        <v>-5.252346561</v>
      </c>
      <c r="E24" s="13">
        <f t="shared" si="51"/>
        <v>-1.011680307</v>
      </c>
      <c r="F24" s="13">
        <f t="shared" si="45"/>
        <v>3.212294138</v>
      </c>
      <c r="G24" s="13">
        <f t="shared" si="46"/>
        <v>0.05418897182</v>
      </c>
      <c r="H24" s="2"/>
      <c r="J24" s="31">
        <f t="shared" si="40"/>
        <v>5</v>
      </c>
      <c r="K24" s="31">
        <f t="shared" si="41"/>
        <v>-1.232541884</v>
      </c>
      <c r="L24" s="31">
        <f t="shared" si="42"/>
        <v>-1.234057869</v>
      </c>
      <c r="M24" s="31">
        <f t="shared" ref="M24:N24" si="52">K24^3-K24^2*EXP(-0.5*K24)-3*K24+1</f>
        <v>0.01170103821</v>
      </c>
      <c r="N24" s="31">
        <f t="shared" si="52"/>
        <v>0.00026748586</v>
      </c>
      <c r="O24" s="31">
        <f t="shared" si="37"/>
        <v>-1.234093335</v>
      </c>
      <c r="P24" s="31">
        <f t="shared" si="38"/>
        <v>0.00003546618624</v>
      </c>
      <c r="Q24" s="28"/>
    </row>
    <row r="25">
      <c r="A25" s="13">
        <f t="shared" si="48"/>
        <v>4</v>
      </c>
      <c r="B25" s="13">
        <f t="shared" si="49"/>
        <v>3.158105166</v>
      </c>
      <c r="C25" s="13">
        <f t="shared" si="50"/>
        <v>3.212294138</v>
      </c>
      <c r="D25" s="13">
        <f t="shared" ref="D25:E25" si="53">B25^3-EXP(0.8*B25)-20</f>
        <v>-1.011680307</v>
      </c>
      <c r="E25" s="13">
        <f t="shared" si="53"/>
        <v>0.08345596176</v>
      </c>
      <c r="F25" s="13">
        <f t="shared" si="45"/>
        <v>3.208164613</v>
      </c>
      <c r="G25" s="13">
        <f t="shared" si="46"/>
        <v>0.004129525147</v>
      </c>
      <c r="H25" s="2"/>
      <c r="J25" s="31">
        <f t="shared" si="40"/>
        <v>6</v>
      </c>
      <c r="K25" s="31">
        <f t="shared" si="41"/>
        <v>-1.234057869</v>
      </c>
      <c r="L25" s="31">
        <f t="shared" si="42"/>
        <v>-1.234093335</v>
      </c>
      <c r="M25" s="31">
        <f t="shared" ref="M25:N25" si="54">K25^3-K25^2*EXP(-0.5*K25)-3*K25+1</f>
        <v>0.00026748586</v>
      </c>
      <c r="N25" s="31">
        <f t="shared" si="54"/>
        <v>-0.0000004507482512</v>
      </c>
      <c r="O25" s="31">
        <f t="shared" si="37"/>
        <v>-1.234093275</v>
      </c>
      <c r="P25" s="31">
        <f t="shared" si="38"/>
        <v>0.00000005966456595</v>
      </c>
      <c r="Q25" s="28"/>
    </row>
    <row r="26">
      <c r="A26" s="13">
        <f t="shared" si="48"/>
        <v>5</v>
      </c>
      <c r="B26" s="13">
        <f t="shared" si="49"/>
        <v>3.212294138</v>
      </c>
      <c r="C26" s="13">
        <f t="shared" si="50"/>
        <v>3.208164613</v>
      </c>
      <c r="D26" s="13">
        <f t="shared" ref="D26:E26" si="55">B26^3-EXP(0.8*B26)-20</f>
        <v>0.08345596176</v>
      </c>
      <c r="E26" s="13">
        <f t="shared" si="55"/>
        <v>-0.001129217083</v>
      </c>
      <c r="F26" s="13">
        <f t="shared" si="45"/>
        <v>3.208219742</v>
      </c>
      <c r="G26" s="13">
        <f t="shared" si="46"/>
        <v>0.00005512940213</v>
      </c>
      <c r="H26" s="2"/>
      <c r="J26" s="31">
        <f t="shared" si="40"/>
        <v>7</v>
      </c>
      <c r="K26" s="31">
        <f t="shared" si="41"/>
        <v>-1.234093335</v>
      </c>
      <c r="L26" s="31">
        <f t="shared" si="42"/>
        <v>-1.234093275</v>
      </c>
      <c r="M26" s="31">
        <f t="shared" ref="M26:N26" si="56">K26^3-K26^2*EXP(-0.5*K26)-3*K26+1</f>
        <v>-0.0000004507482512</v>
      </c>
      <c r="N26" s="31">
        <f t="shared" si="56"/>
        <v>0</v>
      </c>
      <c r="O26" s="17">
        <f t="shared" si="37"/>
        <v>-1.234093275</v>
      </c>
      <c r="P26" s="31">
        <f t="shared" si="38"/>
        <v>0</v>
      </c>
      <c r="Q26" s="28"/>
    </row>
    <row r="27">
      <c r="A27" s="13">
        <f t="shared" si="48"/>
        <v>6</v>
      </c>
      <c r="B27" s="13">
        <f t="shared" si="49"/>
        <v>3.208164613</v>
      </c>
      <c r="C27" s="13">
        <f t="shared" si="50"/>
        <v>3.208219742</v>
      </c>
      <c r="D27" s="13">
        <f t="shared" ref="D27:E27" si="57">B27^3-EXP(0.8*B27)-20</f>
        <v>-0.001129217083</v>
      </c>
      <c r="E27" s="13">
        <f t="shared" si="57"/>
        <v>-0.000001225844137</v>
      </c>
      <c r="F27" s="13">
        <f t="shared" si="45"/>
        <v>3.208219802</v>
      </c>
      <c r="G27" s="13">
        <f t="shared" si="46"/>
        <v>0.00000005991186125</v>
      </c>
      <c r="H27" s="2"/>
      <c r="J27" s="28"/>
      <c r="K27" s="28"/>
      <c r="L27" s="28"/>
      <c r="M27" s="28"/>
      <c r="N27" s="28"/>
      <c r="O27" s="28"/>
      <c r="P27" s="28"/>
      <c r="Q27" s="28"/>
    </row>
    <row r="28">
      <c r="A28" s="13">
        <f t="shared" si="48"/>
        <v>7</v>
      </c>
      <c r="B28" s="13">
        <f t="shared" si="49"/>
        <v>3.208219742</v>
      </c>
      <c r="C28" s="13">
        <f t="shared" si="50"/>
        <v>3.208219802</v>
      </c>
      <c r="D28" s="13">
        <f t="shared" ref="D28:E28" si="58">B28^3-EXP(0.8*B28)-20</f>
        <v>-0.000001225844137</v>
      </c>
      <c r="E28" s="13">
        <f t="shared" si="58"/>
        <v>0</v>
      </c>
      <c r="F28" s="13">
        <f t="shared" si="45"/>
        <v>3.208219802</v>
      </c>
      <c r="G28" s="13">
        <f t="shared" si="46"/>
        <v>0</v>
      </c>
      <c r="H28" s="2"/>
      <c r="J28" s="27" t="s">
        <v>31</v>
      </c>
      <c r="K28" s="28"/>
      <c r="L28" s="28"/>
      <c r="M28" s="28"/>
      <c r="N28" s="28"/>
      <c r="O28" s="28"/>
      <c r="P28" s="28"/>
      <c r="Q28" s="28"/>
    </row>
    <row r="29">
      <c r="A29" s="13">
        <f t="shared" si="48"/>
        <v>8</v>
      </c>
      <c r="B29" s="13">
        <f t="shared" si="49"/>
        <v>3.208219802</v>
      </c>
      <c r="C29" s="13">
        <f t="shared" si="50"/>
        <v>3.208219802</v>
      </c>
      <c r="D29" s="13">
        <f t="shared" ref="D29:E29" si="59">B29^3-EXP(0.8*B29)-20</f>
        <v>0</v>
      </c>
      <c r="E29" s="13">
        <f t="shared" si="59"/>
        <v>0</v>
      </c>
      <c r="F29" s="17">
        <f t="shared" si="45"/>
        <v>3.208219802</v>
      </c>
      <c r="G29" s="13">
        <f t="shared" si="46"/>
        <v>0</v>
      </c>
      <c r="H29" s="2"/>
      <c r="J29" s="29" t="s">
        <v>19</v>
      </c>
      <c r="K29" s="29">
        <v>0.0</v>
      </c>
      <c r="L29" s="28"/>
      <c r="M29" s="28"/>
      <c r="N29" s="28"/>
      <c r="O29" s="28"/>
      <c r="P29" s="28"/>
      <c r="Q29" s="28"/>
    </row>
    <row r="30">
      <c r="A30" s="2"/>
      <c r="B30" s="2"/>
      <c r="C30" s="2"/>
      <c r="D30" s="2"/>
      <c r="E30" s="2"/>
      <c r="F30" s="2"/>
      <c r="G30" s="2"/>
      <c r="H30" s="2"/>
      <c r="J30" s="29" t="s">
        <v>27</v>
      </c>
      <c r="K30" s="29">
        <v>0.5</v>
      </c>
      <c r="L30" s="28"/>
      <c r="M30" s="28"/>
      <c r="N30" s="28"/>
      <c r="O30" s="28"/>
      <c r="P30" s="28"/>
      <c r="Q30" s="28"/>
    </row>
    <row r="31">
      <c r="J31" s="29" t="s">
        <v>5</v>
      </c>
      <c r="K31" s="29">
        <v>1.0E-6</v>
      </c>
      <c r="L31" s="28"/>
      <c r="M31" s="28"/>
      <c r="N31" s="28"/>
      <c r="O31" s="28"/>
      <c r="P31" s="28"/>
      <c r="Q31" s="28"/>
    </row>
    <row r="32">
      <c r="J32" s="28"/>
      <c r="K32" s="28"/>
      <c r="L32" s="28"/>
      <c r="M32" s="28"/>
      <c r="N32" s="28"/>
      <c r="O32" s="28"/>
      <c r="P32" s="28"/>
      <c r="Q32" s="28"/>
    </row>
    <row r="33">
      <c r="J33" s="30" t="s">
        <v>6</v>
      </c>
      <c r="K33" s="30" t="s">
        <v>28</v>
      </c>
      <c r="L33" s="30" t="s">
        <v>20</v>
      </c>
      <c r="M33" s="30" t="s">
        <v>29</v>
      </c>
      <c r="N33" s="30" t="s">
        <v>21</v>
      </c>
      <c r="O33" s="30" t="s">
        <v>30</v>
      </c>
      <c r="P33" s="30" t="s">
        <v>14</v>
      </c>
      <c r="Q33" s="28"/>
    </row>
    <row r="34">
      <c r="J34" s="30">
        <v>1.0</v>
      </c>
      <c r="K34" s="30">
        <v>0.0</v>
      </c>
      <c r="L34" s="31">
        <f>$K$30</f>
        <v>0.5</v>
      </c>
      <c r="M34" s="31">
        <f t="shared" ref="M34:N34" si="60">K34^3-K34^2*EXP(-0.5*K34)-3*K34+1</f>
        <v>1</v>
      </c>
      <c r="N34" s="31">
        <f t="shared" si="60"/>
        <v>-0.5697001958</v>
      </c>
      <c r="O34" s="31">
        <f t="shared" ref="O34:O40" si="62">L34-N34*(L34-K34)/(N34-M34)</f>
        <v>0.3185321639</v>
      </c>
      <c r="P34" s="31">
        <f t="shared" ref="P34:P40" si="63">ABS(O34-L34)</f>
        <v>0.1814678361</v>
      </c>
      <c r="Q34" s="28"/>
    </row>
    <row r="35">
      <c r="J35" s="31">
        <f t="shared" ref="J35:J40" si="64">J34+1</f>
        <v>2</v>
      </c>
      <c r="K35" s="31">
        <f t="shared" ref="K35:K40" si="65">L34</f>
        <v>0.5</v>
      </c>
      <c r="L35" s="31">
        <f t="shared" ref="L35:L40" si="66">O34</f>
        <v>0.3185321639</v>
      </c>
      <c r="M35" s="31">
        <f t="shared" ref="M35:N35" si="61">K35^3-K35^2*EXP(-0.5*K35)-3*K35+1</f>
        <v>-0.5697001958</v>
      </c>
      <c r="N35" s="31">
        <f t="shared" si="61"/>
        <v>-0.009801667375</v>
      </c>
      <c r="O35" s="31">
        <f t="shared" si="62"/>
        <v>0.3153553608</v>
      </c>
      <c r="P35" s="31">
        <f t="shared" si="63"/>
        <v>0.003176803079</v>
      </c>
      <c r="Q35" s="28"/>
    </row>
    <row r="36">
      <c r="J36" s="31">
        <f t="shared" si="64"/>
        <v>3</v>
      </c>
      <c r="K36" s="31">
        <f t="shared" si="65"/>
        <v>0.3185321639</v>
      </c>
      <c r="L36" s="31">
        <f t="shared" si="66"/>
        <v>0.3153553608</v>
      </c>
      <c r="M36" s="31">
        <f t="shared" ref="M36:N36" si="67">K36^3-K36^2*EXP(-0.5*K36)-3*K36+1</f>
        <v>-0.009801667375</v>
      </c>
      <c r="N36" s="31">
        <f t="shared" si="67"/>
        <v>0.0003538099543</v>
      </c>
      <c r="O36" s="31">
        <f t="shared" si="62"/>
        <v>0.3154660385</v>
      </c>
      <c r="P36" s="31">
        <f t="shared" si="63"/>
        <v>0.0001106776684</v>
      </c>
      <c r="Q36" s="28"/>
    </row>
    <row r="37">
      <c r="J37" s="31">
        <f t="shared" si="64"/>
        <v>4</v>
      </c>
      <c r="K37" s="31">
        <f t="shared" si="65"/>
        <v>0.3153553608</v>
      </c>
      <c r="L37" s="31">
        <f t="shared" si="66"/>
        <v>0.3154660385</v>
      </c>
      <c r="M37" s="31">
        <f t="shared" ref="M37:N37" si="68">K37^3-K37^2*EXP(-0.5*K37)-3*K37+1</f>
        <v>0.0003538099543</v>
      </c>
      <c r="N37" s="31">
        <f t="shared" si="68"/>
        <v>-0.0000001205210989</v>
      </c>
      <c r="O37" s="31">
        <f t="shared" si="62"/>
        <v>0.3154660008</v>
      </c>
      <c r="P37" s="31">
        <f t="shared" si="63"/>
        <v>0.00000003768817647</v>
      </c>
      <c r="Q37" s="28"/>
    </row>
    <row r="38">
      <c r="J38" s="31">
        <f t="shared" si="64"/>
        <v>5</v>
      </c>
      <c r="K38" s="31">
        <f t="shared" si="65"/>
        <v>0.3154660385</v>
      </c>
      <c r="L38" s="31">
        <f t="shared" si="66"/>
        <v>0.3154660008</v>
      </c>
      <c r="M38" s="31">
        <f t="shared" ref="M38:N38" si="69">K38^3-K38^2*EXP(-0.5*K38)-3*K38+1</f>
        <v>-0.0000001205210989</v>
      </c>
      <c r="N38" s="31">
        <f t="shared" si="69"/>
        <v>0</v>
      </c>
      <c r="O38" s="31">
        <f t="shared" si="62"/>
        <v>0.3154660008</v>
      </c>
      <c r="P38" s="31">
        <f t="shared" si="63"/>
        <v>0</v>
      </c>
      <c r="Q38" s="28"/>
    </row>
    <row r="39">
      <c r="J39" s="31">
        <f t="shared" si="64"/>
        <v>6</v>
      </c>
      <c r="K39" s="31">
        <f t="shared" si="65"/>
        <v>0.3154660008</v>
      </c>
      <c r="L39" s="31">
        <f t="shared" si="66"/>
        <v>0.3154660008</v>
      </c>
      <c r="M39" s="31">
        <f t="shared" ref="M39:N39" si="70">K39^3-K39^2*EXP(-0.5*K39)-3*K39+1</f>
        <v>0</v>
      </c>
      <c r="N39" s="31">
        <f t="shared" si="70"/>
        <v>0</v>
      </c>
      <c r="O39" s="31">
        <f t="shared" si="62"/>
        <v>0.3154660008</v>
      </c>
      <c r="P39" s="31">
        <f t="shared" si="63"/>
        <v>0</v>
      </c>
      <c r="Q39" s="28"/>
    </row>
    <row r="40">
      <c r="J40" s="31">
        <f t="shared" si="64"/>
        <v>7</v>
      </c>
      <c r="K40" s="31">
        <f t="shared" si="65"/>
        <v>0.3154660008</v>
      </c>
      <c r="L40" s="31">
        <f t="shared" si="66"/>
        <v>0.3154660008</v>
      </c>
      <c r="M40" s="31">
        <f t="shared" ref="M40:N40" si="71">K40^3-K40^2*EXP(-0.5*K40)-3*K40+1</f>
        <v>0</v>
      </c>
      <c r="N40" s="31">
        <f t="shared" si="71"/>
        <v>0</v>
      </c>
      <c r="O40" s="17">
        <f t="shared" si="62"/>
        <v>0.3154660008</v>
      </c>
      <c r="P40" s="31">
        <f t="shared" si="63"/>
        <v>0</v>
      </c>
      <c r="Q40" s="28"/>
    </row>
    <row r="41">
      <c r="J41" s="28"/>
      <c r="K41" s="28"/>
      <c r="L41" s="28"/>
      <c r="M41" s="28"/>
      <c r="N41" s="28"/>
      <c r="O41" s="28"/>
      <c r="P41" s="28"/>
      <c r="Q41" s="28"/>
    </row>
    <row r="42">
      <c r="J42" s="27" t="s">
        <v>31</v>
      </c>
      <c r="K42" s="28"/>
      <c r="L42" s="28"/>
      <c r="M42" s="28"/>
      <c r="N42" s="28"/>
      <c r="O42" s="28"/>
      <c r="P42" s="28"/>
      <c r="Q42" s="28"/>
    </row>
    <row r="43">
      <c r="J43" s="29" t="s">
        <v>19</v>
      </c>
      <c r="K43" s="29">
        <v>1.5</v>
      </c>
      <c r="L43" s="28"/>
      <c r="M43" s="28"/>
      <c r="N43" s="28"/>
      <c r="O43" s="28"/>
      <c r="P43" s="28"/>
      <c r="Q43" s="28"/>
    </row>
    <row r="44">
      <c r="J44" s="29" t="s">
        <v>27</v>
      </c>
      <c r="K44" s="29">
        <v>2.0</v>
      </c>
      <c r="L44" s="28"/>
      <c r="M44" s="28"/>
      <c r="N44" s="28"/>
      <c r="O44" s="28"/>
      <c r="P44" s="28"/>
      <c r="Q44" s="28"/>
    </row>
    <row r="45">
      <c r="J45" s="29" t="s">
        <v>5</v>
      </c>
      <c r="K45" s="29">
        <v>1.0E-6</v>
      </c>
      <c r="L45" s="28"/>
      <c r="M45" s="28"/>
      <c r="N45" s="28"/>
      <c r="O45" s="28"/>
      <c r="P45" s="28"/>
      <c r="Q45" s="28"/>
    </row>
    <row r="46">
      <c r="J46" s="28"/>
      <c r="K46" s="28"/>
      <c r="L46" s="28"/>
      <c r="M46" s="28"/>
      <c r="N46" s="28"/>
      <c r="O46" s="28"/>
      <c r="P46" s="28"/>
      <c r="Q46" s="28"/>
    </row>
    <row r="47">
      <c r="J47" s="30" t="s">
        <v>6</v>
      </c>
      <c r="K47" s="30" t="s">
        <v>28</v>
      </c>
      <c r="L47" s="30" t="s">
        <v>20</v>
      </c>
      <c r="M47" s="30" t="s">
        <v>29</v>
      </c>
      <c r="N47" s="30" t="s">
        <v>21</v>
      </c>
      <c r="O47" s="30" t="s">
        <v>30</v>
      </c>
      <c r="P47" s="30" t="s">
        <v>14</v>
      </c>
      <c r="Q47" s="28"/>
    </row>
    <row r="48">
      <c r="J48" s="30">
        <v>1.0</v>
      </c>
      <c r="K48" s="32">
        <f>$K$43</f>
        <v>1.5</v>
      </c>
      <c r="L48" s="31">
        <f>$K$44</f>
        <v>2</v>
      </c>
      <c r="M48" s="31">
        <f t="shared" ref="M48:N48" si="72">K48^3-K48^2*EXP(-0.5*K48)-3*K48+1</f>
        <v>-1.187824744</v>
      </c>
      <c r="N48" s="31">
        <f t="shared" si="72"/>
        <v>1.528482235</v>
      </c>
      <c r="O48" s="31">
        <f t="shared" ref="O48:O54" si="74">L48-N48*(L48-K48)/(N48-M48)</f>
        <v>1.718647</v>
      </c>
      <c r="P48" s="31">
        <f t="shared" ref="P48:P54" si="75">ABS(O48-L48)</f>
        <v>0.2813530001</v>
      </c>
      <c r="Q48" s="28"/>
    </row>
    <row r="49">
      <c r="J49" s="31">
        <f t="shared" ref="J49:J54" si="76">J48+1</f>
        <v>2</v>
      </c>
      <c r="K49" s="31">
        <f t="shared" ref="K49:K54" si="77">L48</f>
        <v>2</v>
      </c>
      <c r="L49" s="31">
        <f t="shared" ref="L49:L54" si="78">O48</f>
        <v>1.718647</v>
      </c>
      <c r="M49" s="31">
        <f t="shared" ref="M49:N49" si="73">K49^3-K49^2*EXP(-0.5*K49)-3*K49+1</f>
        <v>1.528482235</v>
      </c>
      <c r="N49" s="31">
        <f t="shared" si="73"/>
        <v>-0.3302515026</v>
      </c>
      <c r="O49" s="31">
        <f t="shared" si="74"/>
        <v>1.768636543</v>
      </c>
      <c r="P49" s="31">
        <f t="shared" si="75"/>
        <v>0.04998954349</v>
      </c>
      <c r="Q49" s="28"/>
    </row>
    <row r="50">
      <c r="J50" s="31">
        <f t="shared" si="76"/>
        <v>3</v>
      </c>
      <c r="K50" s="31">
        <f t="shared" si="77"/>
        <v>1.718647</v>
      </c>
      <c r="L50" s="31">
        <f t="shared" si="78"/>
        <v>1.768636543</v>
      </c>
      <c r="M50" s="31">
        <f t="shared" ref="M50:N50" si="79">K50^3-K50^2*EXP(-0.5*K50)-3*K50+1</f>
        <v>-0.3302515026</v>
      </c>
      <c r="N50" s="31">
        <f t="shared" si="79"/>
        <v>-0.06536287225</v>
      </c>
      <c r="O50" s="31">
        <f t="shared" si="74"/>
        <v>1.780971766</v>
      </c>
      <c r="P50" s="31">
        <f t="shared" si="75"/>
        <v>0.01233522232</v>
      </c>
      <c r="Q50" s="28"/>
    </row>
    <row r="51">
      <c r="J51" s="31">
        <f t="shared" si="76"/>
        <v>4</v>
      </c>
      <c r="K51" s="31">
        <f t="shared" si="77"/>
        <v>1.768636543</v>
      </c>
      <c r="L51" s="31">
        <f t="shared" si="78"/>
        <v>1.780971766</v>
      </c>
      <c r="M51" s="31">
        <f t="shared" ref="M51:N51" si="80">K51^3-K51^2*EXP(-0.5*K51)-3*K51+1</f>
        <v>-0.06536287225</v>
      </c>
      <c r="N51" s="31">
        <f t="shared" si="80"/>
        <v>0.004168570932</v>
      </c>
      <c r="O51" s="31">
        <f t="shared" si="74"/>
        <v>1.780232241</v>
      </c>
      <c r="P51" s="31">
        <f t="shared" si="75"/>
        <v>0.0007395251249</v>
      </c>
      <c r="Q51" s="28"/>
    </row>
    <row r="52">
      <c r="J52" s="31">
        <f t="shared" si="76"/>
        <v>5</v>
      </c>
      <c r="K52" s="31">
        <f t="shared" si="77"/>
        <v>1.780971766</v>
      </c>
      <c r="L52" s="31">
        <f t="shared" si="78"/>
        <v>1.780232241</v>
      </c>
      <c r="M52" s="31">
        <f t="shared" ref="M52:N52" si="81">K52^3-K52^2*EXP(-0.5*K52)-3*K52+1</f>
        <v>0.004168570932</v>
      </c>
      <c r="N52" s="31">
        <f t="shared" si="81"/>
        <v>-0.00004705275824</v>
      </c>
      <c r="O52" s="31">
        <f t="shared" si="74"/>
        <v>1.780240495</v>
      </c>
      <c r="P52" s="31">
        <f t="shared" si="75"/>
        <v>0.000008254222736</v>
      </c>
      <c r="Q52" s="28"/>
    </row>
    <row r="53">
      <c r="J53" s="31">
        <f t="shared" si="76"/>
        <v>6</v>
      </c>
      <c r="K53" s="31">
        <f t="shared" si="77"/>
        <v>1.780232241</v>
      </c>
      <c r="L53" s="31">
        <f t="shared" si="78"/>
        <v>1.780240495</v>
      </c>
      <c r="M53" s="31">
        <f t="shared" ref="M53:N53" si="82">K53^3-K53^2*EXP(-0.5*K53)-3*K53+1</f>
        <v>-0.00004705275824</v>
      </c>
      <c r="N53" s="31">
        <f t="shared" si="82"/>
        <v>-0.00000003319349595</v>
      </c>
      <c r="O53" s="31">
        <f t="shared" si="74"/>
        <v>1.780240501</v>
      </c>
      <c r="P53" s="31">
        <f t="shared" si="75"/>
        <v>0.000000005827074601</v>
      </c>
      <c r="Q53" s="28"/>
    </row>
    <row r="54">
      <c r="J54" s="31">
        <f t="shared" si="76"/>
        <v>7</v>
      </c>
      <c r="K54" s="31">
        <f t="shared" si="77"/>
        <v>1.780240495</v>
      </c>
      <c r="L54" s="31">
        <f t="shared" si="78"/>
        <v>1.780240501</v>
      </c>
      <c r="M54" s="31">
        <f t="shared" ref="M54:N54" si="83">K54^3-K54^2*EXP(-0.5*K54)-3*K54+1</f>
        <v>-0.00000003319349595</v>
      </c>
      <c r="N54" s="31">
        <f t="shared" si="83"/>
        <v>0</v>
      </c>
      <c r="O54" s="17">
        <f t="shared" si="74"/>
        <v>1.780240501</v>
      </c>
      <c r="P54" s="31">
        <f t="shared" si="75"/>
        <v>0</v>
      </c>
      <c r="Q54" s="28"/>
    </row>
  </sheetData>
  <drawing r:id="rId1"/>
</worksheet>
</file>